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EXT\1U\"/>
    </mc:Choice>
  </mc:AlternateContent>
  <xr:revisionPtr revIDLastSave="0" documentId="13_ncr:1_{851846ED-F7B9-4242-B6A4-51E67F03F0DF}" xr6:coauthVersionLast="47" xr6:coauthVersionMax="47" xr10:uidLastSave="{00000000-0000-0000-0000-000000000000}"/>
  <bookViews>
    <workbookView xWindow="-15" yWindow="-735" windowWidth="21390" windowHeight="11460" firstSheet="1" activeTab="1" xr2:uid="{00000000-000D-0000-FFFF-FFFF00000000}"/>
  </bookViews>
  <sheets>
    <sheet name="Macro1" sheetId="4" state="hidden" r:id="rId1"/>
    <sheet name="DataList_EnemyA" sheetId="1" r:id="rId2"/>
    <sheet name="Sheet1" sheetId="3" r:id="rId3"/>
    <sheet name="enemya_list" sheetId="2" r:id="rId4"/>
  </sheets>
  <definedNames>
    <definedName name="DE">Sheet1!$C$12</definedName>
    <definedName name="DH">Sheet1!$C$10</definedName>
    <definedName name="DQ">Sheet1!$C$11</definedName>
    <definedName name="DS">Sheet1!$C$13</definedName>
    <definedName name="E">Sheet1!$C$8</definedName>
    <definedName name="H">Sheet1!$C$6</definedName>
    <definedName name="Q">Sheet1!$C$7</definedName>
    <definedName name="S">Sheet1!$C$9</definedName>
    <definedName name="W">Sheet1!$C$4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B2" i="2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C4" i="3"/>
  <c r="C7" i="3"/>
  <c r="C13" i="3" s="1"/>
  <c r="J127" i="1" a="1"/>
  <c r="I123" i="1" l="1"/>
  <c r="I122" i="1"/>
  <c r="J127" i="1"/>
  <c r="C8" i="3"/>
  <c r="C9" i="3"/>
  <c r="C10" i="3"/>
  <c r="C6" i="3"/>
  <c r="C11" i="3"/>
  <c r="C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<sst xmlns="http://schemas.openxmlformats.org/spreadsheetml/2006/main" count="397" uniqueCount="82">
  <si>
    <t>DataList</t>
    <phoneticPr fontId="1"/>
  </si>
  <si>
    <t>No</t>
    <phoneticPr fontId="1"/>
  </si>
  <si>
    <t>BMP</t>
    <phoneticPr fontId="1"/>
  </si>
  <si>
    <t>改行</t>
    <phoneticPr fontId="1"/>
  </si>
  <si>
    <t>全音符(W)</t>
    <phoneticPr fontId="1"/>
  </si>
  <si>
    <t>２分音符（H）</t>
    <phoneticPr fontId="1"/>
  </si>
  <si>
    <t>４分音符（Q）</t>
    <phoneticPr fontId="1"/>
  </si>
  <si>
    <t>８分音符（E）</t>
    <phoneticPr fontId="1"/>
  </si>
  <si>
    <t>１６分音符（S)</t>
    <phoneticPr fontId="1"/>
  </si>
  <si>
    <t>フ点２分音符（DH）</t>
    <phoneticPr fontId="1"/>
  </si>
  <si>
    <t>フ点８分音符（DE）</t>
    <phoneticPr fontId="1"/>
  </si>
  <si>
    <t>フ点４分音符（DQ）</t>
    <phoneticPr fontId="1"/>
  </si>
  <si>
    <t>フ点１６分音符（DS）</t>
    <phoneticPr fontId="1"/>
  </si>
  <si>
    <t>拍</t>
    <phoneticPr fontId="1"/>
  </si>
  <si>
    <t>音階</t>
    <phoneticPr fontId="1"/>
  </si>
  <si>
    <t>音符の種類</t>
    <phoneticPr fontId="1"/>
  </si>
  <si>
    <t>W</t>
    <phoneticPr fontId="1"/>
  </si>
  <si>
    <t>H</t>
    <phoneticPr fontId="1"/>
  </si>
  <si>
    <t>Q</t>
    <phoneticPr fontId="1"/>
  </si>
  <si>
    <t>E</t>
    <phoneticPr fontId="1"/>
  </si>
  <si>
    <t>S</t>
    <phoneticPr fontId="1"/>
  </si>
  <si>
    <t>DH</t>
    <phoneticPr fontId="1"/>
  </si>
  <si>
    <t>DQ</t>
    <phoneticPr fontId="1"/>
  </si>
  <si>
    <t>DE</t>
    <phoneticPr fontId="1"/>
  </si>
  <si>
    <t>DS</t>
    <phoneticPr fontId="1"/>
  </si>
  <si>
    <t>C</t>
    <phoneticPr fontId="1"/>
  </si>
  <si>
    <t>Cs</t>
    <phoneticPr fontId="1"/>
  </si>
  <si>
    <t>D</t>
    <phoneticPr fontId="1"/>
  </si>
  <si>
    <t>Ds</t>
    <phoneticPr fontId="1"/>
  </si>
  <si>
    <t>F</t>
    <phoneticPr fontId="1"/>
  </si>
  <si>
    <t>Fs</t>
    <phoneticPr fontId="1"/>
  </si>
  <si>
    <t>G</t>
    <phoneticPr fontId="1"/>
  </si>
  <si>
    <t>Gs</t>
    <phoneticPr fontId="1"/>
  </si>
  <si>
    <t>A</t>
    <phoneticPr fontId="1"/>
  </si>
  <si>
    <t>As</t>
    <phoneticPr fontId="1"/>
  </si>
  <si>
    <t>B</t>
    <phoneticPr fontId="1"/>
  </si>
  <si>
    <t>a1</t>
    <phoneticPr fontId="1"/>
  </si>
  <si>
    <t>a2</t>
    <phoneticPr fontId="1"/>
  </si>
  <si>
    <t>a3</t>
    <phoneticPr fontId="1"/>
  </si>
  <si>
    <t>a4</t>
    <phoneticPr fontId="1"/>
  </si>
  <si>
    <t>a5</t>
    <phoneticPr fontId="1"/>
  </si>
  <si>
    <t>a</t>
    <phoneticPr fontId="1"/>
  </si>
  <si>
    <t>ae</t>
    <phoneticPr fontId="1"/>
  </si>
  <si>
    <t>足すもの</t>
    <phoneticPr fontId="1"/>
  </si>
  <si>
    <t>a6</t>
    <phoneticPr fontId="1"/>
  </si>
  <si>
    <t>a7</t>
    <phoneticPr fontId="1"/>
  </si>
  <si>
    <t>a8</t>
    <phoneticPr fontId="1"/>
  </si>
  <si>
    <t>a9</t>
    <phoneticPr fontId="1"/>
  </si>
  <si>
    <t>a10</t>
    <phoneticPr fontId="1"/>
  </si>
  <si>
    <t>a11</t>
    <phoneticPr fontId="1"/>
  </si>
  <si>
    <t>DE</t>
  </si>
  <si>
    <t>DQ</t>
  </si>
  <si>
    <t>H</t>
  </si>
  <si>
    <t>a12</t>
    <phoneticPr fontId="1"/>
  </si>
  <si>
    <t>a13</t>
    <phoneticPr fontId="1"/>
  </si>
  <si>
    <t>a14</t>
    <phoneticPr fontId="1"/>
  </si>
  <si>
    <t>E</t>
  </si>
  <si>
    <t>DS</t>
  </si>
  <si>
    <t>S</t>
  </si>
  <si>
    <t>a15</t>
    <phoneticPr fontId="1"/>
  </si>
  <si>
    <t>a16</t>
    <phoneticPr fontId="1"/>
  </si>
  <si>
    <t>a17</t>
    <phoneticPr fontId="1"/>
  </si>
  <si>
    <t>Q</t>
  </si>
  <si>
    <t>a18</t>
    <phoneticPr fontId="1"/>
  </si>
  <si>
    <t>a19</t>
    <phoneticPr fontId="1"/>
  </si>
  <si>
    <t>a20</t>
    <phoneticPr fontId="1"/>
  </si>
  <si>
    <t>a21</t>
    <phoneticPr fontId="1"/>
  </si>
  <si>
    <t>a22</t>
    <phoneticPr fontId="1"/>
  </si>
  <si>
    <t>a23</t>
    <phoneticPr fontId="1"/>
  </si>
  <si>
    <t>a24</t>
    <phoneticPr fontId="1"/>
  </si>
  <si>
    <t>a25</t>
    <phoneticPr fontId="1"/>
  </si>
  <si>
    <t>a26</t>
    <phoneticPr fontId="1"/>
  </si>
  <si>
    <t>a27</t>
    <phoneticPr fontId="1"/>
  </si>
  <si>
    <t>a28</t>
    <phoneticPr fontId="1"/>
  </si>
  <si>
    <t>a29</t>
    <phoneticPr fontId="1"/>
  </si>
  <si>
    <t>a30</t>
    <phoneticPr fontId="1"/>
  </si>
  <si>
    <t>a31</t>
    <phoneticPr fontId="1"/>
  </si>
  <si>
    <t>a32</t>
    <phoneticPr fontId="1"/>
  </si>
  <si>
    <t>a33</t>
    <phoneticPr fontId="1"/>
  </si>
  <si>
    <t>a34</t>
    <phoneticPr fontId="1"/>
  </si>
  <si>
    <t>a35</t>
    <phoneticPr fontId="1"/>
  </si>
  <si>
    <t>end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</si>
</sst>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i/>
      <sz val="20"/>
      <color theme="1"/>
      <name val="Yu Gothic"/>
      <family val="3"/>
      <charset val="128"/>
      <scheme val="minor"/>
    </font>
    <font>
      <b/>
      <i/>
      <sz val="11"/>
      <color theme="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D430-97AE-4DBE-90BE-DB0BBD92C477}">
  <dimension ref="D5"/>
  <sheetViews>
    <sheetView workbookViewId="0">
      <selection activeCell="B16" sqref="B16:B18"/>
    </sheetView>
  </sheetViews>
  <sheetFormatPr defaultRowHeight="18.75"/>
  <sheetData>
    <row r="5" spans="4:4">
      <c r="D5" s="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62"/>
  <sheetViews>
    <sheetView tabSelected="1" topLeftCell="A250" zoomScale="130" zoomScaleNormal="130" workbookViewId="0">
      <selection activeCell="B3" sqref="B3:D262"/>
    </sheetView>
  </sheetViews>
  <sheetFormatPr defaultRowHeight="18.75"/>
  <cols>
    <col min="1" max="1" width="4.625" customWidth="1"/>
    <col min="2" max="2" width="11.625" customWidth="1"/>
    <col min="3" max="3" width="9.375" bestFit="1" customWidth="1"/>
    <col min="8" max="8" width="12.25" customWidth="1"/>
    <col min="9" max="9" width="14.375" customWidth="1"/>
    <col min="10" max="10" width="13.375" customWidth="1"/>
    <col min="11" max="11" width="13.5" customWidth="1"/>
    <col min="12" max="12" width="14.625" customWidth="1"/>
    <col min="13" max="14" width="19.25" customWidth="1"/>
    <col min="15" max="15" width="21.625" customWidth="1"/>
    <col min="16" max="16" width="20.625" customWidth="1"/>
  </cols>
  <sheetData>
    <row r="1" spans="1:13" ht="33">
      <c r="A1" s="1" t="s">
        <v>0</v>
      </c>
    </row>
    <row r="2" spans="1:13">
      <c r="A2" s="2" t="s">
        <v>1</v>
      </c>
      <c r="B2" s="2" t="s">
        <v>15</v>
      </c>
      <c r="C2" s="2" t="s">
        <v>13</v>
      </c>
      <c r="D2" s="2" t="s">
        <v>14</v>
      </c>
      <c r="E2" s="2" t="s">
        <v>3</v>
      </c>
      <c r="F2" s="2"/>
      <c r="G2" s="2" t="s">
        <v>43</v>
      </c>
      <c r="M2" s="3"/>
    </row>
    <row r="3" spans="1:13">
      <c r="A3">
        <v>1</v>
      </c>
      <c r="B3">
        <v>1</v>
      </c>
      <c r="C3">
        <v>3.2</v>
      </c>
      <c r="D3">
        <v>5</v>
      </c>
      <c r="F3" t="s">
        <v>41</v>
      </c>
    </row>
    <row r="4" spans="1:13">
      <c r="A4">
        <v>2</v>
      </c>
      <c r="B4">
        <v>1</v>
      </c>
      <c r="C4">
        <f>VLOOKUP(DataList_EnemyA!G4, Sheet1!$B$4:$C$13, 2, FALSE) +DataList_EnemyA!C3</f>
        <v>4.7</v>
      </c>
      <c r="D4">
        <v>6</v>
      </c>
      <c r="G4" t="s">
        <v>17</v>
      </c>
      <c r="H4">
        <f>VLOOKUP(G4, Sheet1!$B$4:$C$13, 2, FALSE) + C3</f>
        <v>4.7</v>
      </c>
    </row>
    <row r="5" spans="1:13">
      <c r="A5">
        <v>3</v>
      </c>
      <c r="B5">
        <v>1</v>
      </c>
      <c r="C5">
        <f>VLOOKUP(DataList_EnemyA!G5, Sheet1!$B$4:$C$13, 2, FALSE) +DataList_EnemyA!C4</f>
        <v>5.8250000000000002</v>
      </c>
      <c r="D5">
        <v>9</v>
      </c>
      <c r="G5" t="s">
        <v>22</v>
      </c>
      <c r="H5">
        <f>VLOOKUP(G5, Sheet1!$B$4:$C$13, 2, FALSE) + H4</f>
        <v>5.8250000000000002</v>
      </c>
    </row>
    <row r="6" spans="1:13">
      <c r="A6">
        <v>4</v>
      </c>
      <c r="B6">
        <v>1</v>
      </c>
      <c r="C6">
        <f>VLOOKUP(DataList_EnemyA!G6, Sheet1!$B$4:$C$13, 2, FALSE) +DataList_EnemyA!C5</f>
        <v>6.0125000000000002</v>
      </c>
      <c r="D6">
        <v>10</v>
      </c>
      <c r="G6" t="s">
        <v>20</v>
      </c>
      <c r="H6">
        <f>VLOOKUP(G6, Sheet1!$B$4:$C$13, 2, FALSE) + H5</f>
        <v>6.0125000000000002</v>
      </c>
    </row>
    <row r="7" spans="1:13">
      <c r="A7">
        <v>5</v>
      </c>
      <c r="B7">
        <v>3</v>
      </c>
      <c r="C7">
        <f>VLOOKUP(DataList_EnemyA!G7, Sheet1!$B$4:$C$13, 2, FALSE) +DataList_EnemyA!C6</f>
        <v>6.3875000000000002</v>
      </c>
      <c r="D7">
        <v>0</v>
      </c>
      <c r="G7" t="s">
        <v>19</v>
      </c>
      <c r="H7">
        <f>VLOOKUP(G7, Sheet1!$B$4:$C$13, 2, FALSE) + H6</f>
        <v>6.3875000000000002</v>
      </c>
    </row>
    <row r="8" spans="1:13" ht="16.5" customHeight="1">
      <c r="A8">
        <v>6</v>
      </c>
      <c r="B8">
        <v>1</v>
      </c>
      <c r="C8">
        <f>VLOOKUP(DataList_EnemyA!G8, Sheet1!$B$4:$C$13, 2, FALSE) +DataList_EnemyA!C7</f>
        <v>7.5125000000000002</v>
      </c>
      <c r="D8">
        <v>10</v>
      </c>
      <c r="G8" t="s">
        <v>22</v>
      </c>
      <c r="H8">
        <f>VLOOKUP(G8, Sheet1!$B$4:$C$13, 2, FALSE) + H7</f>
        <v>7.5125000000000002</v>
      </c>
    </row>
    <row r="9" spans="1:13">
      <c r="A9">
        <v>7</v>
      </c>
      <c r="B9">
        <v>3</v>
      </c>
      <c r="C9">
        <f>VLOOKUP(DataList_EnemyA!G9, Sheet1!$B$4:$C$13, 2, FALSE) +DataList_EnemyA!C8</f>
        <v>7.8875000000000002</v>
      </c>
      <c r="D9">
        <v>0</v>
      </c>
      <c r="E9">
        <v>1</v>
      </c>
      <c r="F9" t="s">
        <v>42</v>
      </c>
      <c r="G9" t="s">
        <v>19</v>
      </c>
      <c r="H9">
        <f>VLOOKUP(G9, Sheet1!$B$4:$C$13, 2, FALSE) + H8</f>
        <v>7.8875000000000002</v>
      </c>
    </row>
    <row r="10" spans="1:13">
      <c r="A10">
        <v>8</v>
      </c>
      <c r="B10">
        <v>2</v>
      </c>
      <c r="C10">
        <f>VLOOKUP(DataList_EnemyA!G10, Sheet1!$B$4:$C$13, 2, FALSE) +DataList_EnemyA!C9</f>
        <v>9.3874999999999993</v>
      </c>
      <c r="D10">
        <v>5</v>
      </c>
      <c r="F10" t="s">
        <v>36</v>
      </c>
      <c r="G10" t="s">
        <v>17</v>
      </c>
      <c r="H10">
        <f>VLOOKUP(G10, Sheet1!$B$4:$C$13, 2, FALSE) + H9</f>
        <v>9.3874999999999993</v>
      </c>
    </row>
    <row r="11" spans="1:13">
      <c r="A11">
        <v>9</v>
      </c>
      <c r="B11">
        <v>2</v>
      </c>
      <c r="C11">
        <f>VLOOKUP(DataList_EnemyA!G11, Sheet1!$B$4:$C$13, 2, FALSE) +DataList_EnemyA!C10</f>
        <v>10.137499999999999</v>
      </c>
      <c r="D11">
        <v>9</v>
      </c>
      <c r="G11" t="s">
        <v>18</v>
      </c>
      <c r="H11">
        <f>VLOOKUP(G11, Sheet1!$B$4:$C$13, 2, FALSE) + H10</f>
        <v>10.137499999999999</v>
      </c>
    </row>
    <row r="12" spans="1:13">
      <c r="A12">
        <v>10</v>
      </c>
      <c r="B12">
        <v>2</v>
      </c>
      <c r="C12">
        <f>VLOOKUP(DataList_EnemyA!G12, Sheet1!$B$4:$C$13, 2, FALSE) +DataList_EnemyA!C11</f>
        <v>10.512499999999999</v>
      </c>
      <c r="D12">
        <v>10</v>
      </c>
      <c r="G12" t="s">
        <v>19</v>
      </c>
      <c r="H12">
        <f>VLOOKUP(G12, Sheet1!$B$4:$C$13, 2, FALSE) + H11</f>
        <v>10.512499999999999</v>
      </c>
    </row>
    <row r="13" spans="1:13">
      <c r="A13">
        <v>11</v>
      </c>
      <c r="B13">
        <v>3</v>
      </c>
      <c r="C13">
        <f>VLOOKUP(DataList_EnemyA!G13, Sheet1!$B$4:$C$13, 2, FALSE) +DataList_EnemyA!C12</f>
        <v>10.793749999999999</v>
      </c>
      <c r="D13">
        <v>0</v>
      </c>
      <c r="G13" t="s">
        <v>24</v>
      </c>
      <c r="H13">
        <f>VLOOKUP(G13, Sheet1!$B$4:$C$13, 2, FALSE) + H12</f>
        <v>10.793749999999999</v>
      </c>
    </row>
    <row r="14" spans="1:13">
      <c r="A14">
        <v>12</v>
      </c>
      <c r="B14">
        <v>3</v>
      </c>
      <c r="C14">
        <f>VLOOKUP(DataList_EnemyA!G14, Sheet1!$B$4:$C$13, 2, FALSE) +DataList_EnemyA!C13</f>
        <v>11.918749999999999</v>
      </c>
      <c r="D14">
        <v>0</v>
      </c>
      <c r="G14" t="s">
        <v>51</v>
      </c>
      <c r="H14">
        <f>VLOOKUP(G14, Sheet1!$B$4:$C$13, 2, FALSE) + H13</f>
        <v>11.918749999999999</v>
      </c>
    </row>
    <row r="15" spans="1:13">
      <c r="A15">
        <v>13</v>
      </c>
      <c r="B15">
        <v>3</v>
      </c>
      <c r="C15">
        <f>VLOOKUP(DataList_EnemyA!G15, Sheet1!$B$4:$C$13, 2, FALSE) +DataList_EnemyA!C14</f>
        <v>12.2</v>
      </c>
      <c r="D15">
        <v>2</v>
      </c>
      <c r="G15" t="s">
        <v>57</v>
      </c>
      <c r="H15">
        <f>VLOOKUP(G15, Sheet1!$B$4:$C$13, 2, FALSE) + H14</f>
        <v>12.2</v>
      </c>
    </row>
    <row r="16" spans="1:13">
      <c r="A16">
        <v>14</v>
      </c>
      <c r="B16">
        <v>3</v>
      </c>
      <c r="C16">
        <f>VLOOKUP(DataList_EnemyA!G16, Sheet1!$B$4:$C$13, 2, FALSE) +DataList_EnemyA!C15</f>
        <v>12.481249999999999</v>
      </c>
      <c r="D16">
        <v>3</v>
      </c>
      <c r="G16" t="s">
        <v>57</v>
      </c>
      <c r="H16">
        <f>VLOOKUP(G16, Sheet1!$B$4:$C$13, 2, FALSE) + H15</f>
        <v>12.481249999999999</v>
      </c>
    </row>
    <row r="17" spans="1:8">
      <c r="A17">
        <v>15</v>
      </c>
      <c r="B17">
        <v>3</v>
      </c>
      <c r="C17">
        <f>VLOOKUP(DataList_EnemyA!G17, Sheet1!$B$4:$C$13, 2, FALSE) +DataList_EnemyA!C16</f>
        <v>13.043749999999999</v>
      </c>
      <c r="D17">
        <v>2</v>
      </c>
      <c r="G17" t="s">
        <v>50</v>
      </c>
      <c r="H17">
        <f>VLOOKUP(G17, Sheet1!$B$4:$C$13, 2, FALSE) + H16</f>
        <v>13.043749999999999</v>
      </c>
    </row>
    <row r="18" spans="1:8">
      <c r="A18">
        <v>16</v>
      </c>
      <c r="B18">
        <v>1</v>
      </c>
      <c r="C18">
        <f>VLOOKUP(DataList_EnemyA!G18, Sheet1!$B$4:$C$13, 2, FALSE) +DataList_EnemyA!C17</f>
        <v>13.793749999999999</v>
      </c>
      <c r="D18">
        <v>10</v>
      </c>
      <c r="G18" t="s">
        <v>18</v>
      </c>
      <c r="H18">
        <f>VLOOKUP(G18, Sheet1!$B$4:$C$13, 2, FALSE) + H17</f>
        <v>13.793749999999999</v>
      </c>
    </row>
    <row r="19" spans="1:8">
      <c r="A19">
        <v>17</v>
      </c>
      <c r="B19">
        <v>2</v>
      </c>
      <c r="C19">
        <f>VLOOKUP(DataList_EnemyA!G19, Sheet1!$B$4:$C$13, 2, FALSE) +DataList_EnemyA!C18</f>
        <v>14.543749999999999</v>
      </c>
      <c r="D19">
        <v>5</v>
      </c>
      <c r="E19">
        <v>1</v>
      </c>
      <c r="F19" t="s">
        <v>42</v>
      </c>
      <c r="G19" t="s">
        <v>18</v>
      </c>
      <c r="H19">
        <f>VLOOKUP(G19, Sheet1!$B$4:$C$13, 2, FALSE) + H18</f>
        <v>14.543749999999999</v>
      </c>
    </row>
    <row r="20" spans="1:8">
      <c r="A20">
        <v>18</v>
      </c>
      <c r="B20">
        <v>3</v>
      </c>
      <c r="C20">
        <f>VLOOKUP(DataList_EnemyA!G20, Sheet1!$B$4:$C$13, 2, FALSE) +DataList_EnemyA!C19</f>
        <v>15.293749999999999</v>
      </c>
      <c r="D20">
        <v>2</v>
      </c>
      <c r="F20" t="s">
        <v>37</v>
      </c>
      <c r="G20" t="s">
        <v>18</v>
      </c>
      <c r="H20">
        <f>VLOOKUP(G20, Sheet1!$B$4:$C$13, 2, FALSE) + H19</f>
        <v>15.293749999999999</v>
      </c>
    </row>
    <row r="21" spans="1:8">
      <c r="A21">
        <v>19</v>
      </c>
      <c r="B21">
        <v>3</v>
      </c>
      <c r="C21">
        <f>VLOOKUP(DataList_EnemyA!G21, Sheet1!$B$4:$C$13, 2, FALSE) +DataList_EnemyA!C20</f>
        <v>16.793749999999999</v>
      </c>
      <c r="D21">
        <v>0</v>
      </c>
      <c r="G21" t="s">
        <v>17</v>
      </c>
      <c r="H21">
        <f>VLOOKUP(G21, Sheet1!$B$4:$C$13, 2, FALSE) + H20</f>
        <v>16.793749999999999</v>
      </c>
    </row>
    <row r="22" spans="1:8">
      <c r="A22">
        <v>20</v>
      </c>
      <c r="B22">
        <v>3</v>
      </c>
      <c r="C22">
        <f>VLOOKUP(DataList_EnemyA!G22, Sheet1!$B$4:$C$13, 2, FALSE) +DataList_EnemyA!C21</f>
        <v>18.293749999999999</v>
      </c>
      <c r="D22">
        <v>0</v>
      </c>
      <c r="G22" t="s">
        <v>17</v>
      </c>
      <c r="H22">
        <f>VLOOKUP(G22, Sheet1!$B$4:$C$13, 2, FALSE) + H21</f>
        <v>18.293749999999999</v>
      </c>
    </row>
    <row r="23" spans="1:8">
      <c r="A23">
        <v>21</v>
      </c>
      <c r="B23">
        <v>3</v>
      </c>
      <c r="C23">
        <f>VLOOKUP(DataList_EnemyA!G23, Sheet1!$B$4:$C$13, 2, FALSE) +DataList_EnemyA!C22</f>
        <v>18.668749999999999</v>
      </c>
      <c r="D23">
        <v>2</v>
      </c>
      <c r="G23" t="s">
        <v>19</v>
      </c>
      <c r="H23">
        <f>VLOOKUP(G23, Sheet1!$B$4:$C$13, 2, FALSE) + H22</f>
        <v>18.668749999999999</v>
      </c>
    </row>
    <row r="24" spans="1:8">
      <c r="A24">
        <v>22</v>
      </c>
      <c r="B24">
        <v>3</v>
      </c>
      <c r="C24">
        <f>VLOOKUP(DataList_EnemyA!G24, Sheet1!$B$4:$C$13, 2, FALSE) +DataList_EnemyA!C23</f>
        <v>19.043749999999999</v>
      </c>
      <c r="D24">
        <v>5</v>
      </c>
      <c r="G24" t="s">
        <v>19</v>
      </c>
      <c r="H24">
        <f>VLOOKUP(G24, Sheet1!$B$4:$C$13, 2, FALSE) + H23</f>
        <v>19.043749999999999</v>
      </c>
    </row>
    <row r="25" spans="1:8">
      <c r="A25">
        <v>23</v>
      </c>
      <c r="B25">
        <v>3</v>
      </c>
      <c r="C25">
        <f>VLOOKUP(DataList_EnemyA!G25, Sheet1!$B$4:$C$13, 2, FALSE) +DataList_EnemyA!C24</f>
        <v>19.418749999999999</v>
      </c>
      <c r="D25">
        <v>2</v>
      </c>
      <c r="G25" t="s">
        <v>19</v>
      </c>
      <c r="H25">
        <f>VLOOKUP(G25, Sheet1!$B$4:$C$13, 2, FALSE) + H24</f>
        <v>19.418749999999999</v>
      </c>
    </row>
    <row r="26" spans="1:8">
      <c r="A26">
        <v>24</v>
      </c>
      <c r="B26">
        <v>2</v>
      </c>
      <c r="C26">
        <f>VLOOKUP(DataList_EnemyA!G26, Sheet1!$B$4:$C$13, 2, FALSE) +DataList_EnemyA!C25</f>
        <v>19.981249999999999</v>
      </c>
      <c r="D26">
        <v>10</v>
      </c>
      <c r="G26" t="s">
        <v>50</v>
      </c>
      <c r="H26">
        <f>VLOOKUP(G26, Sheet1!$B$4:$C$13, 2, FALSE) + H25</f>
        <v>19.981249999999999</v>
      </c>
    </row>
    <row r="27" spans="1:8">
      <c r="A27">
        <v>25</v>
      </c>
      <c r="B27">
        <v>3</v>
      </c>
      <c r="C27">
        <f>VLOOKUP(DataList_EnemyA!G27, Sheet1!$B$4:$C$13, 2, FALSE) +DataList_EnemyA!C26</f>
        <v>21.106249999999999</v>
      </c>
      <c r="D27">
        <v>5</v>
      </c>
      <c r="F27" t="s">
        <v>38</v>
      </c>
      <c r="G27" t="s">
        <v>51</v>
      </c>
      <c r="H27">
        <f>VLOOKUP(G27, Sheet1!$B$4:$C$13, 2, FALSE) + H26</f>
        <v>21.106249999999999</v>
      </c>
    </row>
    <row r="28" spans="1:8">
      <c r="A28">
        <v>26</v>
      </c>
      <c r="B28">
        <v>3</v>
      </c>
      <c r="C28">
        <f>VLOOKUP(DataList_EnemyA!G28, Sheet1!$B$4:$C$13, 2, FALSE) +DataList_EnemyA!C27</f>
        <v>21.481249999999999</v>
      </c>
      <c r="D28">
        <v>2</v>
      </c>
      <c r="E28">
        <v>1</v>
      </c>
      <c r="G28" t="s">
        <v>56</v>
      </c>
      <c r="H28">
        <f>VLOOKUP(G28, Sheet1!$B$4:$C$13, 2, FALSE) + H27</f>
        <v>21.481249999999999</v>
      </c>
    </row>
    <row r="29" spans="1:8">
      <c r="A29">
        <v>27</v>
      </c>
      <c r="B29">
        <v>3</v>
      </c>
      <c r="C29">
        <f>VLOOKUP(DataList_EnemyA!G29, Sheet1!$B$4:$C$13, 2, FALSE) +DataList_EnemyA!C28</f>
        <v>22.231249999999999</v>
      </c>
      <c r="D29">
        <v>0</v>
      </c>
      <c r="G29" t="s">
        <v>18</v>
      </c>
      <c r="H29">
        <f>VLOOKUP(G29, Sheet1!$B$4:$C$13, 2, FALSE) + H28</f>
        <v>22.231249999999999</v>
      </c>
    </row>
    <row r="30" spans="1:8">
      <c r="A30">
        <v>28</v>
      </c>
      <c r="B30">
        <v>3</v>
      </c>
      <c r="C30">
        <f>VLOOKUP(DataList_EnemyA!G30, Sheet1!$B$4:$C$13, 2, FALSE) +DataList_EnemyA!C29</f>
        <v>22.793749999999999</v>
      </c>
      <c r="D30">
        <v>2</v>
      </c>
      <c r="E30">
        <v>1</v>
      </c>
      <c r="G30" t="s">
        <v>23</v>
      </c>
      <c r="H30">
        <f>VLOOKUP(G30, Sheet1!$B$4:$C$13, 2, FALSE) + H29</f>
        <v>22.793749999999999</v>
      </c>
    </row>
    <row r="31" spans="1:8">
      <c r="A31">
        <v>29</v>
      </c>
      <c r="B31">
        <v>2</v>
      </c>
      <c r="C31">
        <f>VLOOKUP(DataList_EnemyA!G31, Sheet1!$B$4:$C$13, 2, FALSE) +DataList_EnemyA!C30</f>
        <v>24.293749999999999</v>
      </c>
      <c r="D31">
        <v>9</v>
      </c>
      <c r="F31" t="s">
        <v>39</v>
      </c>
      <c r="G31" t="s">
        <v>17</v>
      </c>
      <c r="H31">
        <f>VLOOKUP(G31, Sheet1!$B$4:$C$13, 2, FALSE) + H30</f>
        <v>24.293749999999999</v>
      </c>
    </row>
    <row r="32" spans="1:8">
      <c r="A32">
        <v>30</v>
      </c>
      <c r="B32">
        <v>2</v>
      </c>
      <c r="C32">
        <f>VLOOKUP(DataList_EnemyA!G32, Sheet1!$B$4:$C$13, 2, FALSE) +DataList_EnemyA!C31</f>
        <v>24.668749999999999</v>
      </c>
      <c r="D32">
        <v>10</v>
      </c>
      <c r="G32" t="s">
        <v>19</v>
      </c>
      <c r="H32">
        <f>VLOOKUP(G32, Sheet1!$B$4:$C$13, 2, FALSE) + H31</f>
        <v>24.668749999999999</v>
      </c>
    </row>
    <row r="33" spans="1:8">
      <c r="A33">
        <v>31</v>
      </c>
      <c r="B33">
        <v>3</v>
      </c>
      <c r="C33">
        <f>VLOOKUP(DataList_EnemyA!G33, Sheet1!$B$4:$C$13, 2, FALSE) +DataList_EnemyA!C32</f>
        <v>25.043749999999999</v>
      </c>
      <c r="D33">
        <v>0</v>
      </c>
      <c r="G33" t="s">
        <v>19</v>
      </c>
      <c r="H33">
        <f>VLOOKUP(G33, Sheet1!$B$4:$C$13, 2, FALSE) + H32</f>
        <v>25.043749999999999</v>
      </c>
    </row>
    <row r="34" spans="1:8">
      <c r="A34">
        <v>32</v>
      </c>
      <c r="B34">
        <v>3</v>
      </c>
      <c r="C34">
        <f>VLOOKUP(DataList_EnemyA!G34, Sheet1!$B$4:$C$13, 2, FALSE) +DataList_EnemyA!C33</f>
        <v>25.418749999999999</v>
      </c>
      <c r="D34">
        <v>5</v>
      </c>
      <c r="G34" t="s">
        <v>19</v>
      </c>
      <c r="H34">
        <f>VLOOKUP(G34, Sheet1!$B$4:$C$13, 2, FALSE) + H33</f>
        <v>25.418749999999999</v>
      </c>
    </row>
    <row r="35" spans="1:8">
      <c r="A35">
        <v>33</v>
      </c>
      <c r="B35">
        <v>3</v>
      </c>
      <c r="C35">
        <f>VLOOKUP(DataList_EnemyA!G35, Sheet1!$B$4:$C$13, 2, FALSE) +DataList_EnemyA!C34</f>
        <v>25.793749999999999</v>
      </c>
      <c r="D35">
        <v>7</v>
      </c>
      <c r="G35" t="s">
        <v>19</v>
      </c>
      <c r="H35">
        <f>VLOOKUP(G35, Sheet1!$B$4:$C$13, 2, FALSE) + H34</f>
        <v>25.793749999999999</v>
      </c>
    </row>
    <row r="36" spans="1:8">
      <c r="A36">
        <v>34</v>
      </c>
      <c r="B36">
        <v>3</v>
      </c>
      <c r="C36">
        <f>VLOOKUP(DataList_EnemyA!G36, Sheet1!$B$4:$C$13, 2, FALSE) +DataList_EnemyA!C35</f>
        <v>25.981249999999999</v>
      </c>
      <c r="D36">
        <v>7</v>
      </c>
      <c r="G36" t="s">
        <v>20</v>
      </c>
      <c r="H36">
        <f>VLOOKUP(G36, Sheet1!$B$4:$C$13, 2, FALSE) + H35</f>
        <v>25.981249999999999</v>
      </c>
    </row>
    <row r="37" spans="1:8">
      <c r="A37">
        <v>35</v>
      </c>
      <c r="B37">
        <v>3</v>
      </c>
      <c r="C37">
        <f>VLOOKUP(DataList_EnemyA!G37, Sheet1!$B$4:$C$13, 2, FALSE) +DataList_EnemyA!C36</f>
        <v>26.168749999999999</v>
      </c>
      <c r="D37">
        <v>5</v>
      </c>
      <c r="G37" t="s">
        <v>20</v>
      </c>
      <c r="H37">
        <f>VLOOKUP(G37, Sheet1!$B$4:$C$13, 2, FALSE) + H36</f>
        <v>26.168749999999999</v>
      </c>
    </row>
    <row r="38" spans="1:8">
      <c r="A38">
        <v>36</v>
      </c>
      <c r="B38">
        <v>3</v>
      </c>
      <c r="C38">
        <f>VLOOKUP(DataList_EnemyA!G38, Sheet1!$B$4:$C$13, 2, FALSE) +DataList_EnemyA!C37</f>
        <v>26.543749999999999</v>
      </c>
      <c r="D38">
        <v>2</v>
      </c>
      <c r="G38" t="s">
        <v>19</v>
      </c>
      <c r="H38">
        <f>VLOOKUP(G38, Sheet1!$B$4:$C$13, 2, FALSE) + H37</f>
        <v>26.543749999999999</v>
      </c>
    </row>
    <row r="39" spans="1:8">
      <c r="A39">
        <v>37</v>
      </c>
      <c r="B39">
        <v>3</v>
      </c>
      <c r="C39">
        <f>VLOOKUP(DataList_EnemyA!G39, Sheet1!$B$4:$C$13, 2, FALSE) +DataList_EnemyA!C38</f>
        <v>26.918749999999999</v>
      </c>
      <c r="D39">
        <v>0</v>
      </c>
      <c r="G39" t="s">
        <v>19</v>
      </c>
      <c r="H39">
        <f>VLOOKUP(G39, Sheet1!$B$4:$C$13, 2, FALSE) + H38</f>
        <v>26.918749999999999</v>
      </c>
    </row>
    <row r="40" spans="1:8">
      <c r="A40">
        <v>38</v>
      </c>
      <c r="B40">
        <v>3</v>
      </c>
      <c r="C40">
        <f>VLOOKUP(DataList_EnemyA!G40, Sheet1!$B$4:$C$13, 2, FALSE) +DataList_EnemyA!C39</f>
        <v>27.481249999999999</v>
      </c>
      <c r="D40">
        <v>2</v>
      </c>
      <c r="F40" t="s">
        <v>40</v>
      </c>
      <c r="G40" t="s">
        <v>50</v>
      </c>
      <c r="H40">
        <f>VLOOKUP(G40, Sheet1!$B$4:$C$13, 2, FALSE) + H39</f>
        <v>27.481249999999999</v>
      </c>
    </row>
    <row r="41" spans="1:8">
      <c r="A41">
        <v>39</v>
      </c>
      <c r="B41">
        <v>2</v>
      </c>
      <c r="C41">
        <f>VLOOKUP(DataList_EnemyA!G41, Sheet1!$B$4:$C$13, 2, FALSE) +DataList_EnemyA!C40</f>
        <v>28.043749999999999</v>
      </c>
      <c r="D41">
        <v>9</v>
      </c>
      <c r="G41" t="s">
        <v>50</v>
      </c>
      <c r="H41">
        <f>VLOOKUP(G41, Sheet1!$B$4:$C$13, 2, FALSE) + H40</f>
        <v>28.043749999999999</v>
      </c>
    </row>
    <row r="42" spans="1:8">
      <c r="A42">
        <v>40</v>
      </c>
      <c r="B42">
        <v>1</v>
      </c>
      <c r="C42">
        <f>VLOOKUP(DataList_EnemyA!G42, Sheet1!$B$4:$C$13, 2, FALSE) +DataList_EnemyA!C41</f>
        <v>28.418749999999999</v>
      </c>
      <c r="D42">
        <v>10</v>
      </c>
      <c r="G42" t="s">
        <v>19</v>
      </c>
      <c r="H42">
        <f>VLOOKUP(G42, Sheet1!$B$4:$C$13, 2, FALSE) + H41</f>
        <v>28.418749999999999</v>
      </c>
    </row>
    <row r="43" spans="1:8">
      <c r="A43">
        <v>41</v>
      </c>
      <c r="B43">
        <v>3</v>
      </c>
      <c r="C43">
        <f>VLOOKUP(DataList_EnemyA!G43, Sheet1!$B$4:$C$13, 2, FALSE) +DataList_EnemyA!C42</f>
        <v>28.793749999999999</v>
      </c>
      <c r="D43">
        <v>0</v>
      </c>
      <c r="G43" t="s">
        <v>19</v>
      </c>
      <c r="H43">
        <f>VLOOKUP(G43, Sheet1!$B$4:$C$13, 2, FALSE) + H42</f>
        <v>28.793749999999999</v>
      </c>
    </row>
    <row r="44" spans="1:8">
      <c r="A44">
        <v>42</v>
      </c>
      <c r="B44">
        <v>2</v>
      </c>
      <c r="C44">
        <f>VLOOKUP(DataList_EnemyA!G44, Sheet1!$B$4:$C$13, 2, FALSE) +DataList_EnemyA!C43</f>
        <v>29.918749999999999</v>
      </c>
      <c r="D44">
        <v>10</v>
      </c>
      <c r="G44" t="s">
        <v>51</v>
      </c>
      <c r="H44">
        <f>VLOOKUP(G44, Sheet1!$B$4:$C$13, 2, FALSE) + H43</f>
        <v>29.918749999999999</v>
      </c>
    </row>
    <row r="45" spans="1:8">
      <c r="A45">
        <v>43</v>
      </c>
      <c r="B45">
        <v>3</v>
      </c>
      <c r="C45">
        <f>VLOOKUP(DataList_EnemyA!G45, Sheet1!$B$4:$C$13, 2, FALSE) +DataList_EnemyA!C44</f>
        <v>30.668749999999999</v>
      </c>
      <c r="D45">
        <v>0</v>
      </c>
      <c r="F45" t="s">
        <v>44</v>
      </c>
      <c r="G45" t="s">
        <v>18</v>
      </c>
      <c r="H45">
        <f>VLOOKUP(G45, Sheet1!$B$4:$C$13, 2, FALSE) + H44</f>
        <v>30.668749999999999</v>
      </c>
    </row>
    <row r="46" spans="1:8">
      <c r="A46">
        <v>44</v>
      </c>
      <c r="B46">
        <v>3</v>
      </c>
      <c r="C46">
        <f>VLOOKUP(DataList_EnemyA!G46, Sheet1!$B$4:$C$13, 2, FALSE) +DataList_EnemyA!C45</f>
        <v>31.043749999999999</v>
      </c>
      <c r="D46">
        <v>5</v>
      </c>
      <c r="G46" t="s">
        <v>19</v>
      </c>
      <c r="H46">
        <f>VLOOKUP(G46, Sheet1!$B$4:$C$13, 2, FALSE) + H45</f>
        <v>31.043749999999999</v>
      </c>
    </row>
    <row r="47" spans="1:8">
      <c r="A47">
        <v>45</v>
      </c>
      <c r="B47">
        <v>3</v>
      </c>
      <c r="C47">
        <f>VLOOKUP(DataList_EnemyA!G47, Sheet1!$B$4:$C$13, 2, FALSE) +DataList_EnemyA!C46</f>
        <v>31.418749999999999</v>
      </c>
      <c r="D47">
        <v>3</v>
      </c>
      <c r="G47" t="s">
        <v>19</v>
      </c>
      <c r="H47">
        <f>VLOOKUP(G47, Sheet1!$B$4:$C$13, 2, FALSE) + H46</f>
        <v>31.418749999999999</v>
      </c>
    </row>
    <row r="48" spans="1:8">
      <c r="A48">
        <v>46</v>
      </c>
      <c r="B48">
        <v>3</v>
      </c>
      <c r="C48">
        <f>VLOOKUP(DataList_EnemyA!G48, Sheet1!$B$4:$C$13, 2, FALSE) +DataList_EnemyA!C47</f>
        <v>31.793749999999999</v>
      </c>
      <c r="D48">
        <v>2</v>
      </c>
      <c r="G48" t="s">
        <v>19</v>
      </c>
      <c r="H48">
        <f>VLOOKUP(G48, Sheet1!$B$4:$C$13, 2, FALSE) + H47</f>
        <v>31.793749999999999</v>
      </c>
    </row>
    <row r="49" spans="1:8">
      <c r="A49">
        <v>47</v>
      </c>
      <c r="B49">
        <v>2</v>
      </c>
      <c r="C49">
        <f>VLOOKUP(DataList_EnemyA!G49, Sheet1!$B$4:$C$13, 2, FALSE) +DataList_EnemyA!C48</f>
        <v>32.168750000000003</v>
      </c>
      <c r="D49">
        <v>10</v>
      </c>
      <c r="F49" t="s">
        <v>42</v>
      </c>
      <c r="G49" t="s">
        <v>19</v>
      </c>
      <c r="H49">
        <f>VLOOKUP(G49, Sheet1!$B$4:$C$13, 2, FALSE) + H48</f>
        <v>32.168750000000003</v>
      </c>
    </row>
    <row r="50" spans="1:8">
      <c r="A50">
        <v>48</v>
      </c>
      <c r="B50">
        <v>3</v>
      </c>
      <c r="C50">
        <f>VLOOKUP(DataList_EnemyA!G50, Sheet1!$B$4:$C$13, 2, FALSE) +DataList_EnemyA!C49</f>
        <v>33.293750000000003</v>
      </c>
      <c r="D50">
        <v>2</v>
      </c>
      <c r="F50" t="s">
        <v>45</v>
      </c>
      <c r="G50" t="s">
        <v>51</v>
      </c>
      <c r="H50">
        <f>VLOOKUP(G50, Sheet1!$B$4:$C$13, 2, FALSE) + H49</f>
        <v>33.293750000000003</v>
      </c>
    </row>
    <row r="51" spans="1:8">
      <c r="A51">
        <v>49</v>
      </c>
      <c r="B51">
        <v>3</v>
      </c>
      <c r="C51">
        <f>VLOOKUP(DataList_EnemyA!G51, Sheet1!$B$4:$C$13, 2, FALSE) +DataList_EnemyA!C50</f>
        <v>34.043750000000003</v>
      </c>
      <c r="D51">
        <v>5</v>
      </c>
      <c r="G51" t="s">
        <v>18</v>
      </c>
      <c r="H51">
        <f>VLOOKUP(G51, Sheet1!$B$4:$C$13, 2, FALSE) + H50</f>
        <v>34.043750000000003</v>
      </c>
    </row>
    <row r="52" spans="1:8">
      <c r="A52">
        <v>50</v>
      </c>
      <c r="B52">
        <v>3</v>
      </c>
      <c r="C52">
        <f>VLOOKUP(DataList_EnemyA!G52, Sheet1!$B$4:$C$13, 2, FALSE) +DataList_EnemyA!C51</f>
        <v>35.168750000000003</v>
      </c>
      <c r="D52">
        <v>6</v>
      </c>
      <c r="E52">
        <v>1</v>
      </c>
      <c r="G52" t="s">
        <v>51</v>
      </c>
      <c r="H52">
        <f>VLOOKUP(G52, Sheet1!$B$4:$C$13, 2, FALSE) + H51</f>
        <v>35.168750000000003</v>
      </c>
    </row>
    <row r="53" spans="1:8">
      <c r="A53">
        <v>51</v>
      </c>
      <c r="B53">
        <v>3</v>
      </c>
      <c r="C53">
        <f>VLOOKUP(DataList_EnemyA!G53, Sheet1!$B$4:$C$13, 2, FALSE) +DataList_EnemyA!C52</f>
        <v>35.356250000000003</v>
      </c>
      <c r="D53">
        <v>5</v>
      </c>
      <c r="G53" t="s">
        <v>20</v>
      </c>
      <c r="H53">
        <f>VLOOKUP(G53, Sheet1!$B$4:$C$13, 2, FALSE) + H52</f>
        <v>35.356250000000003</v>
      </c>
    </row>
    <row r="54" spans="1:8">
      <c r="A54">
        <v>52</v>
      </c>
      <c r="B54">
        <v>3</v>
      </c>
      <c r="C54">
        <f>VLOOKUP(DataList_EnemyA!G54, Sheet1!$B$4:$C$13, 2, FALSE) +DataList_EnemyA!C53</f>
        <v>35.543750000000003</v>
      </c>
      <c r="D54">
        <v>3</v>
      </c>
      <c r="G54" t="s">
        <v>20</v>
      </c>
      <c r="H54">
        <f>VLOOKUP(G54, Sheet1!$B$4:$C$13, 2, FALSE) + H53</f>
        <v>35.543750000000003</v>
      </c>
    </row>
    <row r="55" spans="1:8">
      <c r="A55">
        <v>53</v>
      </c>
      <c r="B55">
        <v>3</v>
      </c>
      <c r="C55">
        <f>VLOOKUP(DataList_EnemyA!G55, Sheet1!$B$4:$C$13, 2, FALSE) +DataList_EnemyA!C54</f>
        <v>35.731250000000003</v>
      </c>
      <c r="D55">
        <v>1</v>
      </c>
      <c r="G55" t="s">
        <v>20</v>
      </c>
      <c r="H55">
        <f>VLOOKUP(G55, Sheet1!$B$4:$C$13, 2, FALSE) + H54</f>
        <v>35.731250000000003</v>
      </c>
    </row>
    <row r="56" spans="1:8">
      <c r="A56">
        <v>54</v>
      </c>
      <c r="B56">
        <v>2</v>
      </c>
      <c r="C56">
        <f>VLOOKUP(DataList_EnemyA!G56, Sheet1!$B$4:$C$13, 2, FALSE) +DataList_EnemyA!C55</f>
        <v>35.918750000000003</v>
      </c>
      <c r="D56">
        <v>9</v>
      </c>
      <c r="G56" t="s">
        <v>20</v>
      </c>
      <c r="H56">
        <f>VLOOKUP(G56, Sheet1!$B$4:$C$13, 2, FALSE) + H55</f>
        <v>35.918750000000003</v>
      </c>
    </row>
    <row r="57" spans="1:8">
      <c r="A57">
        <v>55</v>
      </c>
      <c r="B57">
        <v>2</v>
      </c>
      <c r="C57">
        <f>VLOOKUP(DataList_EnemyA!G57, Sheet1!$B$4:$C$13, 2, FALSE) +DataList_EnemyA!C56</f>
        <v>36.106250000000003</v>
      </c>
      <c r="D57">
        <v>8</v>
      </c>
      <c r="G57" t="s">
        <v>20</v>
      </c>
      <c r="H57">
        <f>VLOOKUP(G57, Sheet1!$B$4:$C$13, 2, FALSE) + H56</f>
        <v>36.106250000000003</v>
      </c>
    </row>
    <row r="58" spans="1:8">
      <c r="A58">
        <v>56</v>
      </c>
      <c r="B58">
        <v>2</v>
      </c>
      <c r="C58">
        <f>VLOOKUP(DataList_EnemyA!G58, Sheet1!$B$4:$C$13, 2, FALSE) +DataList_EnemyA!C57</f>
        <v>36.293750000000003</v>
      </c>
      <c r="D58">
        <v>6</v>
      </c>
      <c r="G58" t="s">
        <v>20</v>
      </c>
      <c r="H58">
        <f>VLOOKUP(G58, Sheet1!$B$4:$C$13, 2, FALSE) + H57</f>
        <v>36.293750000000003</v>
      </c>
    </row>
    <row r="59" spans="1:8">
      <c r="A59">
        <v>57</v>
      </c>
      <c r="B59">
        <v>0</v>
      </c>
      <c r="C59">
        <f>VLOOKUP(DataList_EnemyA!G59, Sheet1!$B$4:$C$13, 2, FALSE) +DataList_EnemyA!C58</f>
        <v>36.481250000000003</v>
      </c>
      <c r="D59">
        <v>5</v>
      </c>
      <c r="G59" t="s">
        <v>20</v>
      </c>
      <c r="H59">
        <f>VLOOKUP(G59, Sheet1!$B$4:$C$13, 2, FALSE) + H58</f>
        <v>36.481250000000003</v>
      </c>
    </row>
    <row r="60" spans="1:8">
      <c r="A60">
        <v>58</v>
      </c>
      <c r="B60">
        <v>1</v>
      </c>
      <c r="C60">
        <f>VLOOKUP(DataList_EnemyA!G60, Sheet1!$B$4:$C$13, 2, FALSE) +DataList_EnemyA!C59</f>
        <v>37.231250000000003</v>
      </c>
      <c r="D60">
        <v>2</v>
      </c>
      <c r="G60" t="s">
        <v>18</v>
      </c>
      <c r="H60">
        <f>VLOOKUP(G60, Sheet1!$B$4:$C$13, 2, FALSE) + H59</f>
        <v>37.231250000000003</v>
      </c>
    </row>
    <row r="61" spans="1:8">
      <c r="A61">
        <v>59</v>
      </c>
      <c r="B61">
        <v>1</v>
      </c>
      <c r="C61">
        <f>VLOOKUP(DataList_EnemyA!G61, Sheet1!$B$4:$C$13, 2, FALSE) +DataList_EnemyA!C60</f>
        <v>37.606250000000003</v>
      </c>
      <c r="D61">
        <v>5</v>
      </c>
      <c r="F61" t="s">
        <v>42</v>
      </c>
      <c r="G61" t="s">
        <v>19</v>
      </c>
      <c r="H61">
        <f>VLOOKUP(G61, Sheet1!$B$4:$C$13, 2, FALSE) + H60</f>
        <v>37.606250000000003</v>
      </c>
    </row>
    <row r="62" spans="1:8">
      <c r="A62">
        <v>60</v>
      </c>
      <c r="B62">
        <v>1</v>
      </c>
      <c r="C62">
        <f>VLOOKUP(DataList_EnemyA!G62, Sheet1!$B$4:$C$13, 2, FALSE) +DataList_EnemyA!C61</f>
        <v>39.106250000000003</v>
      </c>
      <c r="D62">
        <v>5</v>
      </c>
      <c r="F62" t="s">
        <v>46</v>
      </c>
      <c r="G62" t="s">
        <v>17</v>
      </c>
      <c r="H62">
        <f>VLOOKUP(G62, Sheet1!$B$4:$C$13, 2, FALSE) + H61</f>
        <v>39.106250000000003</v>
      </c>
    </row>
    <row r="63" spans="1:8">
      <c r="B63">
        <v>1</v>
      </c>
      <c r="C63">
        <f>VLOOKUP(DataList_EnemyA!G63, Sheet1!$B$4:$C$13, 2, FALSE) +DataList_EnemyA!C62</f>
        <v>40.606250000000003</v>
      </c>
      <c r="D63">
        <v>6</v>
      </c>
      <c r="G63" t="s">
        <v>17</v>
      </c>
      <c r="H63">
        <f>VLOOKUP(G63, Sheet1!$B$4:$C$13, 2, FALSE) + H62</f>
        <v>40.606250000000003</v>
      </c>
    </row>
    <row r="64" spans="1:8">
      <c r="B64">
        <v>1</v>
      </c>
      <c r="C64">
        <f>VLOOKUP(DataList_EnemyA!G64, Sheet1!$B$4:$C$13, 2, FALSE) +DataList_EnemyA!C63</f>
        <v>41.731250000000003</v>
      </c>
      <c r="D64">
        <v>9</v>
      </c>
      <c r="G64" t="s">
        <v>22</v>
      </c>
      <c r="H64">
        <f>VLOOKUP(G64, Sheet1!$B$4:$C$13, 2, FALSE) + H63</f>
        <v>41.731250000000003</v>
      </c>
    </row>
    <row r="65" spans="2:8">
      <c r="B65">
        <v>1</v>
      </c>
      <c r="C65">
        <f>VLOOKUP(DataList_EnemyA!G65, Sheet1!$B$4:$C$13, 2, FALSE) +DataList_EnemyA!C64</f>
        <v>41.918750000000003</v>
      </c>
      <c r="D65">
        <v>10</v>
      </c>
      <c r="G65" t="s">
        <v>20</v>
      </c>
      <c r="H65">
        <f>VLOOKUP(G65, Sheet1!$B$4:$C$13, 2, FALSE) + H64</f>
        <v>41.918750000000003</v>
      </c>
    </row>
    <row r="66" spans="2:8">
      <c r="B66">
        <v>3</v>
      </c>
      <c r="C66">
        <f>VLOOKUP(DataList_EnemyA!G66, Sheet1!$B$4:$C$13, 2, FALSE) +DataList_EnemyA!C65</f>
        <v>42.293750000000003</v>
      </c>
      <c r="D66">
        <v>0</v>
      </c>
      <c r="G66" t="s">
        <v>19</v>
      </c>
      <c r="H66">
        <f>VLOOKUP(G66, Sheet1!$B$4:$C$13, 2, FALSE) + H65</f>
        <v>42.293750000000003</v>
      </c>
    </row>
    <row r="67" spans="2:8">
      <c r="B67">
        <v>1</v>
      </c>
      <c r="C67">
        <f>VLOOKUP(DataList_EnemyA!G67, Sheet1!$B$4:$C$13, 2, FALSE) +DataList_EnemyA!C66</f>
        <v>43.418750000000003</v>
      </c>
      <c r="D67">
        <v>10</v>
      </c>
      <c r="G67" t="s">
        <v>22</v>
      </c>
      <c r="H67">
        <f>VLOOKUP(G67, Sheet1!$B$4:$C$13, 2, FALSE) + H66</f>
        <v>43.418750000000003</v>
      </c>
    </row>
    <row r="68" spans="2:8">
      <c r="B68">
        <v>3</v>
      </c>
      <c r="C68">
        <f>VLOOKUP(DataList_EnemyA!G68, Sheet1!$B$4:$C$13, 2, FALSE) +DataList_EnemyA!C67</f>
        <v>43.793750000000003</v>
      </c>
      <c r="D68">
        <v>0</v>
      </c>
      <c r="E68">
        <v>1</v>
      </c>
      <c r="G68" t="s">
        <v>19</v>
      </c>
      <c r="H68">
        <f>VLOOKUP(G68, Sheet1!$B$4:$C$13, 2, FALSE) + H67</f>
        <v>43.793750000000003</v>
      </c>
    </row>
    <row r="69" spans="2:8">
      <c r="B69">
        <v>2</v>
      </c>
      <c r="C69">
        <f>VLOOKUP(DataList_EnemyA!G69, Sheet1!$B$4:$C$13, 2, FALSE) +DataList_EnemyA!C68</f>
        <v>45.293750000000003</v>
      </c>
      <c r="D69">
        <v>5</v>
      </c>
      <c r="F69" t="s">
        <v>47</v>
      </c>
      <c r="G69" t="s">
        <v>17</v>
      </c>
      <c r="H69">
        <f>VLOOKUP(G69, Sheet1!$B$4:$C$13, 2, FALSE) + H68</f>
        <v>45.293750000000003</v>
      </c>
    </row>
    <row r="70" spans="2:8">
      <c r="B70">
        <v>2</v>
      </c>
      <c r="C70">
        <f>VLOOKUP(DataList_EnemyA!G70, Sheet1!$B$4:$C$13, 2, FALSE) +DataList_EnemyA!C69</f>
        <v>46.043750000000003</v>
      </c>
      <c r="D70">
        <v>9</v>
      </c>
      <c r="G70" t="s">
        <v>18</v>
      </c>
      <c r="H70">
        <f>VLOOKUP(G70, Sheet1!$B$4:$C$13, 2, FALSE) + H69</f>
        <v>46.043750000000003</v>
      </c>
    </row>
    <row r="71" spans="2:8">
      <c r="B71">
        <v>2</v>
      </c>
      <c r="C71">
        <f>VLOOKUP(DataList_EnemyA!G71, Sheet1!$B$4:$C$13, 2, FALSE) +DataList_EnemyA!C70</f>
        <v>46.418750000000003</v>
      </c>
      <c r="D71">
        <v>10</v>
      </c>
      <c r="G71" t="s">
        <v>19</v>
      </c>
      <c r="H71">
        <f>VLOOKUP(G71, Sheet1!$B$4:$C$13, 2, FALSE) + H70</f>
        <v>46.418750000000003</v>
      </c>
    </row>
    <row r="72" spans="2:8">
      <c r="B72">
        <v>3</v>
      </c>
      <c r="C72">
        <f>VLOOKUP(DataList_EnemyA!G72, Sheet1!$B$4:$C$13, 2, FALSE) +DataList_EnemyA!C71</f>
        <v>46.7</v>
      </c>
      <c r="D72">
        <v>0</v>
      </c>
      <c r="G72" t="s">
        <v>24</v>
      </c>
      <c r="H72">
        <f>VLOOKUP(G72, Sheet1!$B$4:$C$13, 2, FALSE) + H71</f>
        <v>46.7</v>
      </c>
    </row>
    <row r="73" spans="2:8">
      <c r="B73">
        <v>3</v>
      </c>
      <c r="C73">
        <f>VLOOKUP(DataList_EnemyA!G73, Sheet1!$B$4:$C$13, 2, FALSE) +DataList_EnemyA!C72</f>
        <v>47.825000000000003</v>
      </c>
      <c r="D73">
        <v>0</v>
      </c>
      <c r="G73" t="s">
        <v>51</v>
      </c>
      <c r="H73">
        <f>VLOOKUP(G73, Sheet1!$B$4:$C$13, 2, FALSE) + H72</f>
        <v>47.825000000000003</v>
      </c>
    </row>
    <row r="74" spans="2:8">
      <c r="B74">
        <v>3</v>
      </c>
      <c r="C74">
        <f>VLOOKUP(DataList_EnemyA!G74, Sheet1!$B$4:$C$13, 2, FALSE) +DataList_EnemyA!C73</f>
        <v>48.106250000000003</v>
      </c>
      <c r="D74">
        <v>2</v>
      </c>
      <c r="G74" t="s">
        <v>57</v>
      </c>
      <c r="H74">
        <f>VLOOKUP(G74, Sheet1!$B$4:$C$13, 2, FALSE) + H73</f>
        <v>48.106250000000003</v>
      </c>
    </row>
    <row r="75" spans="2:8">
      <c r="B75">
        <v>3</v>
      </c>
      <c r="C75">
        <f>VLOOKUP(DataList_EnemyA!G75, Sheet1!$B$4:$C$13, 2, FALSE) +DataList_EnemyA!C74</f>
        <v>48.387500000000003</v>
      </c>
      <c r="D75">
        <v>3</v>
      </c>
      <c r="G75" t="s">
        <v>57</v>
      </c>
      <c r="H75">
        <f>VLOOKUP(G75, Sheet1!$B$4:$C$13, 2, FALSE) + H74</f>
        <v>48.387500000000003</v>
      </c>
    </row>
    <row r="76" spans="2:8">
      <c r="B76">
        <v>3</v>
      </c>
      <c r="C76">
        <f>VLOOKUP(DataList_EnemyA!G76, Sheet1!$B$4:$C$13, 2, FALSE) +DataList_EnemyA!C75</f>
        <v>48.95</v>
      </c>
      <c r="D76">
        <v>2</v>
      </c>
      <c r="G76" t="s">
        <v>50</v>
      </c>
      <c r="H76">
        <f>VLOOKUP(G76, Sheet1!$B$4:$C$13, 2, FALSE) + H75</f>
        <v>48.95</v>
      </c>
    </row>
    <row r="77" spans="2:8">
      <c r="B77">
        <v>1</v>
      </c>
      <c r="C77">
        <f>VLOOKUP(DataList_EnemyA!G77, Sheet1!$B$4:$C$13, 2, FALSE) +DataList_EnemyA!C76</f>
        <v>49.7</v>
      </c>
      <c r="D77">
        <v>10</v>
      </c>
      <c r="G77" t="s">
        <v>18</v>
      </c>
      <c r="H77">
        <f>VLOOKUP(G77, Sheet1!$B$4:$C$13, 2, FALSE) + H76</f>
        <v>49.7</v>
      </c>
    </row>
    <row r="78" spans="2:8">
      <c r="B78">
        <v>2</v>
      </c>
      <c r="C78">
        <f>VLOOKUP(DataList_EnemyA!G78, Sheet1!$B$4:$C$13, 2, FALSE) +DataList_EnemyA!C77</f>
        <v>50.45</v>
      </c>
      <c r="D78">
        <v>5</v>
      </c>
      <c r="E78">
        <v>1</v>
      </c>
      <c r="G78" t="s">
        <v>18</v>
      </c>
      <c r="H78">
        <f>VLOOKUP(G78, Sheet1!$B$4:$C$13, 2, FALSE) + H77</f>
        <v>50.45</v>
      </c>
    </row>
    <row r="79" spans="2:8">
      <c r="B79">
        <v>3</v>
      </c>
      <c r="C79">
        <f>VLOOKUP(DataList_EnemyA!G79, Sheet1!$B$4:$C$13, 2, FALSE) +DataList_EnemyA!C78</f>
        <v>51.2</v>
      </c>
      <c r="D79">
        <v>2</v>
      </c>
      <c r="F79" t="s">
        <v>48</v>
      </c>
      <c r="G79" t="s">
        <v>18</v>
      </c>
      <c r="H79">
        <f>VLOOKUP(G79, Sheet1!$B$4:$C$13, 2, FALSE) + H78</f>
        <v>51.2</v>
      </c>
    </row>
    <row r="80" spans="2:8">
      <c r="B80">
        <v>3</v>
      </c>
      <c r="C80">
        <f>VLOOKUP(DataList_EnemyA!G80, Sheet1!$B$4:$C$13, 2, FALSE) +DataList_EnemyA!C79</f>
        <v>52.7</v>
      </c>
      <c r="D80">
        <v>0</v>
      </c>
      <c r="G80" t="s">
        <v>17</v>
      </c>
      <c r="H80">
        <f>VLOOKUP(G80, Sheet1!$B$4:$C$13, 2, FALSE) + H79</f>
        <v>52.7</v>
      </c>
    </row>
    <row r="81" spans="2:8">
      <c r="B81">
        <v>3</v>
      </c>
      <c r="C81">
        <f>VLOOKUP(DataList_EnemyA!G81, Sheet1!$B$4:$C$13, 2, FALSE) +DataList_EnemyA!C80</f>
        <v>54.2</v>
      </c>
      <c r="D81">
        <v>0</v>
      </c>
      <c r="G81" t="s">
        <v>52</v>
      </c>
      <c r="H81">
        <f>VLOOKUP(G81, Sheet1!$B$4:$C$13, 2, FALSE) + H80</f>
        <v>54.2</v>
      </c>
    </row>
    <row r="82" spans="2:8">
      <c r="B82">
        <v>3</v>
      </c>
      <c r="C82">
        <f>VLOOKUP(DataList_EnemyA!G82, Sheet1!$B$4:$C$13, 2, FALSE) +DataList_EnemyA!C81</f>
        <v>54.575000000000003</v>
      </c>
      <c r="D82">
        <v>2</v>
      </c>
      <c r="G82" t="s">
        <v>56</v>
      </c>
      <c r="H82">
        <f>VLOOKUP(G82, Sheet1!$B$4:$C$13, 2, FALSE) + H81</f>
        <v>54.575000000000003</v>
      </c>
    </row>
    <row r="83" spans="2:8">
      <c r="B83">
        <v>3</v>
      </c>
      <c r="C83">
        <f>VLOOKUP(DataList_EnemyA!G83, Sheet1!$B$4:$C$13, 2, FALSE) +DataList_EnemyA!C82</f>
        <v>54.95</v>
      </c>
      <c r="D83">
        <v>5</v>
      </c>
      <c r="G83" t="s">
        <v>56</v>
      </c>
      <c r="H83">
        <f>VLOOKUP(G83, Sheet1!$B$4:$C$13, 2, FALSE) + H82</f>
        <v>54.95</v>
      </c>
    </row>
    <row r="84" spans="2:8">
      <c r="B84">
        <v>3</v>
      </c>
      <c r="C84">
        <f>VLOOKUP(DataList_EnemyA!G84, Sheet1!$B$4:$C$13, 2, FALSE) +DataList_EnemyA!C83</f>
        <v>55.325000000000003</v>
      </c>
      <c r="D84">
        <v>2</v>
      </c>
      <c r="G84" t="s">
        <v>56</v>
      </c>
      <c r="H84">
        <f>VLOOKUP(G84, Sheet1!$B$4:$C$13, 2, FALSE) + H83</f>
        <v>55.325000000000003</v>
      </c>
    </row>
    <row r="85" spans="2:8">
      <c r="B85">
        <v>2</v>
      </c>
      <c r="C85">
        <f>VLOOKUP(DataList_EnemyA!G85, Sheet1!$B$4:$C$13, 2, FALSE) +DataList_EnemyA!C84</f>
        <v>55.887500000000003</v>
      </c>
      <c r="D85">
        <v>10</v>
      </c>
      <c r="G85" t="s">
        <v>50</v>
      </c>
      <c r="H85">
        <f>VLOOKUP(G85, Sheet1!$B$4:$C$13, 2, FALSE) + H84</f>
        <v>55.887500000000003</v>
      </c>
    </row>
    <row r="86" spans="2:8">
      <c r="B86">
        <v>3</v>
      </c>
      <c r="C86">
        <f>VLOOKUP(DataList_EnemyA!G86, Sheet1!$B$4:$C$13, 2, FALSE) +DataList_EnemyA!C85</f>
        <v>57.012500000000003</v>
      </c>
      <c r="D86">
        <v>5</v>
      </c>
      <c r="F86" t="s">
        <v>49</v>
      </c>
      <c r="G86" t="s">
        <v>51</v>
      </c>
      <c r="H86">
        <f>VLOOKUP(G86, Sheet1!$B$4:$C$13, 2, FALSE) + H85</f>
        <v>57.012500000000003</v>
      </c>
    </row>
    <row r="87" spans="2:8">
      <c r="B87">
        <v>3</v>
      </c>
      <c r="C87">
        <f>VLOOKUP(DataList_EnemyA!G87, Sheet1!$B$4:$C$13, 2, FALSE) +DataList_EnemyA!C86</f>
        <v>57.387500000000003</v>
      </c>
      <c r="D87">
        <v>2</v>
      </c>
      <c r="G87" t="s">
        <v>56</v>
      </c>
      <c r="H87">
        <f>VLOOKUP(G87, Sheet1!$B$4:$C$13, 2, FALSE) + H86</f>
        <v>57.387500000000003</v>
      </c>
    </row>
    <row r="88" spans="2:8">
      <c r="B88">
        <v>3</v>
      </c>
      <c r="C88">
        <f>VLOOKUP(DataList_EnemyA!G88, Sheet1!$B$4:$C$13, 2, FALSE) +DataList_EnemyA!C87</f>
        <v>58.137500000000003</v>
      </c>
      <c r="D88">
        <v>0</v>
      </c>
      <c r="G88" t="s">
        <v>18</v>
      </c>
      <c r="H88">
        <f>VLOOKUP(G88, Sheet1!$B$4:$C$13, 2, FALSE) + H87</f>
        <v>58.137500000000003</v>
      </c>
    </row>
    <row r="89" spans="2:8">
      <c r="B89">
        <v>3</v>
      </c>
      <c r="C89">
        <f>VLOOKUP(DataList_EnemyA!G89, Sheet1!$B$4:$C$13, 2, FALSE) +DataList_EnemyA!C88</f>
        <v>58.7</v>
      </c>
      <c r="D89">
        <v>2</v>
      </c>
      <c r="G89" t="s">
        <v>23</v>
      </c>
      <c r="H89">
        <f>VLOOKUP(G89, Sheet1!$B$4:$C$13, 2, FALSE) + H88</f>
        <v>58.7</v>
      </c>
    </row>
    <row r="90" spans="2:8">
      <c r="B90">
        <v>2</v>
      </c>
      <c r="C90">
        <f>VLOOKUP(DataList_EnemyA!G90, Sheet1!$B$4:$C$13, 2, FALSE) +DataList_EnemyA!C89</f>
        <v>60.2</v>
      </c>
      <c r="D90">
        <v>9</v>
      </c>
      <c r="F90" t="s">
        <v>53</v>
      </c>
      <c r="G90" t="s">
        <v>52</v>
      </c>
      <c r="H90">
        <f>VLOOKUP(G90, Sheet1!$B$4:$C$13, 2, FALSE) + H89</f>
        <v>60.2</v>
      </c>
    </row>
    <row r="91" spans="2:8">
      <c r="B91">
        <v>2</v>
      </c>
      <c r="C91">
        <f>VLOOKUP(DataList_EnemyA!G91, Sheet1!$B$4:$C$13, 2, FALSE) +DataList_EnemyA!C90</f>
        <v>60.575000000000003</v>
      </c>
      <c r="D91">
        <v>10</v>
      </c>
      <c r="G91" t="s">
        <v>56</v>
      </c>
      <c r="H91">
        <f>VLOOKUP(G91, Sheet1!$B$4:$C$13, 2, FALSE) + H90</f>
        <v>60.575000000000003</v>
      </c>
    </row>
    <row r="92" spans="2:8">
      <c r="B92">
        <v>3</v>
      </c>
      <c r="C92">
        <f>VLOOKUP(DataList_EnemyA!G92, Sheet1!$B$4:$C$13, 2, FALSE) +DataList_EnemyA!C91</f>
        <v>60.95</v>
      </c>
      <c r="D92">
        <v>0</v>
      </c>
      <c r="G92" t="s">
        <v>56</v>
      </c>
      <c r="H92">
        <f>VLOOKUP(G92, Sheet1!$B$4:$C$13, 2, FALSE) + H91</f>
        <v>60.95</v>
      </c>
    </row>
    <row r="93" spans="2:8">
      <c r="B93">
        <v>3</v>
      </c>
      <c r="C93">
        <f>VLOOKUP(DataList_EnemyA!G93, Sheet1!$B$4:$C$13, 2, FALSE) +DataList_EnemyA!C92</f>
        <v>61.325000000000003</v>
      </c>
      <c r="D93">
        <v>5</v>
      </c>
      <c r="G93" t="s">
        <v>56</v>
      </c>
      <c r="H93">
        <f>VLOOKUP(G93, Sheet1!$B$4:$C$13, 2, FALSE) + H92</f>
        <v>61.325000000000003</v>
      </c>
    </row>
    <row r="94" spans="2:8">
      <c r="B94">
        <v>3</v>
      </c>
      <c r="C94">
        <f>VLOOKUP(DataList_EnemyA!G94, Sheet1!$B$4:$C$13, 2, FALSE) +DataList_EnemyA!C93</f>
        <v>61.7</v>
      </c>
      <c r="D94">
        <v>7</v>
      </c>
      <c r="G94" t="s">
        <v>56</v>
      </c>
      <c r="H94">
        <f>VLOOKUP(G94, Sheet1!$B$4:$C$13, 2, FALSE) + H93</f>
        <v>61.7</v>
      </c>
    </row>
    <row r="95" spans="2:8">
      <c r="B95">
        <v>3</v>
      </c>
      <c r="C95">
        <f>VLOOKUP(DataList_EnemyA!G95, Sheet1!$B$4:$C$13, 2, FALSE) +DataList_EnemyA!C94</f>
        <v>61.887500000000003</v>
      </c>
      <c r="D95">
        <v>7</v>
      </c>
      <c r="G95" t="s">
        <v>58</v>
      </c>
      <c r="H95">
        <f>VLOOKUP(G95, Sheet1!$B$4:$C$13, 2, FALSE) + H94</f>
        <v>61.887500000000003</v>
      </c>
    </row>
    <row r="96" spans="2:8">
      <c r="B96">
        <v>3</v>
      </c>
      <c r="C96">
        <f>VLOOKUP(DataList_EnemyA!G96, Sheet1!$B$4:$C$13, 2, FALSE) +DataList_EnemyA!C95</f>
        <v>62.075000000000003</v>
      </c>
      <c r="D96">
        <v>5</v>
      </c>
      <c r="G96" t="s">
        <v>58</v>
      </c>
      <c r="H96">
        <f>VLOOKUP(G96, Sheet1!$B$4:$C$13, 2, FALSE) + H95</f>
        <v>62.075000000000003</v>
      </c>
    </row>
    <row r="97" spans="2:8">
      <c r="B97">
        <v>3</v>
      </c>
      <c r="C97">
        <f>VLOOKUP(DataList_EnemyA!G97, Sheet1!$B$4:$C$13, 2, FALSE) +DataList_EnemyA!C96</f>
        <v>62.45</v>
      </c>
      <c r="D97">
        <v>2</v>
      </c>
      <c r="G97" t="s">
        <v>56</v>
      </c>
      <c r="H97">
        <f>VLOOKUP(G97, Sheet1!$B$4:$C$13, 2, FALSE) + H96</f>
        <v>62.45</v>
      </c>
    </row>
    <row r="98" spans="2:8">
      <c r="B98">
        <v>3</v>
      </c>
      <c r="C98">
        <f>VLOOKUP(DataList_EnemyA!G98, Sheet1!$B$4:$C$13, 2, FALSE) +DataList_EnemyA!C97</f>
        <v>62.825000000000003</v>
      </c>
      <c r="D98">
        <v>0</v>
      </c>
      <c r="G98" t="s">
        <v>56</v>
      </c>
      <c r="H98">
        <f>VLOOKUP(G98, Sheet1!$B$4:$C$13, 2, FALSE) + H97</f>
        <v>62.825000000000003</v>
      </c>
    </row>
    <row r="99" spans="2:8">
      <c r="B99">
        <v>3</v>
      </c>
      <c r="C99">
        <f>VLOOKUP(DataList_EnemyA!G99, Sheet1!$B$4:$C$13, 2, FALSE) +DataList_EnemyA!C98</f>
        <v>63.387500000000003</v>
      </c>
      <c r="D99">
        <v>2</v>
      </c>
      <c r="F99" t="s">
        <v>54</v>
      </c>
      <c r="G99" t="s">
        <v>50</v>
      </c>
      <c r="H99">
        <f>VLOOKUP(G99, Sheet1!$B$4:$C$13, 2, FALSE) + H98</f>
        <v>63.387500000000003</v>
      </c>
    </row>
    <row r="100" spans="2:8">
      <c r="B100">
        <v>2</v>
      </c>
      <c r="C100">
        <f>VLOOKUP(DataList_EnemyA!G100, Sheet1!$B$4:$C$13, 2, FALSE) +DataList_EnemyA!C99</f>
        <v>63.95</v>
      </c>
      <c r="D100">
        <v>9</v>
      </c>
      <c r="G100" t="s">
        <v>50</v>
      </c>
      <c r="H100">
        <f>VLOOKUP(G100, Sheet1!$B$4:$C$13, 2, FALSE) + H99</f>
        <v>63.95</v>
      </c>
    </row>
    <row r="101" spans="2:8">
      <c r="B101">
        <v>1</v>
      </c>
      <c r="C101">
        <f>VLOOKUP(DataList_EnemyA!G101, Sheet1!$B$4:$C$13, 2, FALSE) +DataList_EnemyA!C100</f>
        <v>64.325000000000003</v>
      </c>
      <c r="D101">
        <v>10</v>
      </c>
      <c r="G101" t="s">
        <v>19</v>
      </c>
      <c r="H101">
        <f>VLOOKUP(G101, Sheet1!$B$4:$C$13, 2, FALSE) + H100</f>
        <v>64.325000000000003</v>
      </c>
    </row>
    <row r="102" spans="2:8">
      <c r="B102">
        <v>3</v>
      </c>
      <c r="C102">
        <f>VLOOKUP(DataList_EnemyA!G102, Sheet1!$B$4:$C$13, 2, FALSE) +DataList_EnemyA!C101</f>
        <v>64.7</v>
      </c>
      <c r="D102">
        <v>0</v>
      </c>
      <c r="G102" t="s">
        <v>19</v>
      </c>
      <c r="H102">
        <f>VLOOKUP(G102, Sheet1!$B$4:$C$13, 2, FALSE) + H101</f>
        <v>64.7</v>
      </c>
    </row>
    <row r="103" spans="2:8">
      <c r="B103">
        <v>2</v>
      </c>
      <c r="C103">
        <f>VLOOKUP(DataList_EnemyA!G103, Sheet1!$B$4:$C$13, 2, FALSE) +DataList_EnemyA!C102</f>
        <v>65.825000000000003</v>
      </c>
      <c r="D103">
        <v>10</v>
      </c>
      <c r="G103" t="s">
        <v>51</v>
      </c>
      <c r="H103">
        <f>VLOOKUP(G103, Sheet1!$B$4:$C$13, 2, FALSE) + H102</f>
        <v>65.825000000000003</v>
      </c>
    </row>
    <row r="104" spans="2:8">
      <c r="B104">
        <v>3</v>
      </c>
      <c r="C104">
        <f>VLOOKUP(DataList_EnemyA!G104, Sheet1!$B$4:$C$13, 2, FALSE) +DataList_EnemyA!C103</f>
        <v>66.575000000000003</v>
      </c>
      <c r="D104">
        <v>0</v>
      </c>
      <c r="F104" t="s">
        <v>55</v>
      </c>
      <c r="G104" t="s">
        <v>18</v>
      </c>
      <c r="H104">
        <f>VLOOKUP(G104, Sheet1!$B$4:$C$13, 2, FALSE) + H103</f>
        <v>66.575000000000003</v>
      </c>
    </row>
    <row r="105" spans="2:8">
      <c r="B105">
        <v>3</v>
      </c>
      <c r="C105">
        <f>VLOOKUP(DataList_EnemyA!G105, Sheet1!$B$4:$C$13, 2, FALSE) +DataList_EnemyA!C104</f>
        <v>66.95</v>
      </c>
      <c r="D105">
        <v>5</v>
      </c>
      <c r="G105" t="s">
        <v>19</v>
      </c>
      <c r="H105">
        <f>VLOOKUP(G105, Sheet1!$B$4:$C$13, 2, FALSE) + H104</f>
        <v>66.95</v>
      </c>
    </row>
    <row r="106" spans="2:8">
      <c r="B106">
        <v>3</v>
      </c>
      <c r="C106">
        <f>VLOOKUP(DataList_EnemyA!G106, Sheet1!$B$4:$C$13, 2, FALSE) +DataList_EnemyA!C105</f>
        <v>67.325000000000003</v>
      </c>
      <c r="D106">
        <v>3</v>
      </c>
      <c r="G106" t="s">
        <v>19</v>
      </c>
      <c r="H106">
        <f>VLOOKUP(G106, Sheet1!$B$4:$C$13, 2, FALSE) + H105</f>
        <v>67.325000000000003</v>
      </c>
    </row>
    <row r="107" spans="2:8">
      <c r="B107">
        <v>3</v>
      </c>
      <c r="C107">
        <f>VLOOKUP(DataList_EnemyA!G107, Sheet1!$B$4:$C$13, 2, FALSE) +DataList_EnemyA!C106</f>
        <v>67.7</v>
      </c>
      <c r="D107">
        <v>2</v>
      </c>
      <c r="G107" t="s">
        <v>56</v>
      </c>
      <c r="H107">
        <f>VLOOKUP(G107, Sheet1!$B$4:$C$13, 2, FALSE) + H106</f>
        <v>67.7</v>
      </c>
    </row>
    <row r="108" spans="2:8">
      <c r="B108">
        <v>2</v>
      </c>
      <c r="C108">
        <f>VLOOKUP(DataList_EnemyA!G108, Sheet1!$B$4:$C$13, 2, FALSE) +DataList_EnemyA!C107</f>
        <v>68.075000000000003</v>
      </c>
      <c r="D108">
        <v>10</v>
      </c>
      <c r="G108" t="s">
        <v>56</v>
      </c>
      <c r="H108">
        <f>VLOOKUP(G108, Sheet1!$B$4:$C$13, 2, FALSE) + H107</f>
        <v>68.075000000000003</v>
      </c>
    </row>
    <row r="109" spans="2:8">
      <c r="B109">
        <v>3</v>
      </c>
      <c r="C109">
        <f>VLOOKUP(DataList_EnemyA!G109, Sheet1!$B$4:$C$13, 2, FALSE) +DataList_EnemyA!C108</f>
        <v>69.2</v>
      </c>
      <c r="D109">
        <v>2</v>
      </c>
      <c r="F109" t="s">
        <v>59</v>
      </c>
      <c r="G109" t="s">
        <v>51</v>
      </c>
      <c r="H109">
        <f>VLOOKUP(G109, Sheet1!$B$4:$C$13, 2, FALSE) + H108</f>
        <v>69.2</v>
      </c>
    </row>
    <row r="110" spans="2:8">
      <c r="B110">
        <v>3</v>
      </c>
      <c r="C110">
        <f>VLOOKUP(DataList_EnemyA!G110, Sheet1!$B$4:$C$13, 2, FALSE) +DataList_EnemyA!C109</f>
        <v>69.95</v>
      </c>
      <c r="D110">
        <v>5</v>
      </c>
      <c r="G110" t="s">
        <v>18</v>
      </c>
      <c r="H110">
        <f>VLOOKUP(G110, Sheet1!$B$4:$C$13, 2, FALSE) + H109</f>
        <v>69.95</v>
      </c>
    </row>
    <row r="111" spans="2:8">
      <c r="B111">
        <v>3</v>
      </c>
      <c r="C111">
        <f>VLOOKUP(DataList_EnemyA!G111, Sheet1!$B$4:$C$13, 2, FALSE) +DataList_EnemyA!C110</f>
        <v>71.075000000000003</v>
      </c>
      <c r="D111">
        <v>6</v>
      </c>
      <c r="G111" t="s">
        <v>51</v>
      </c>
      <c r="H111">
        <f>VLOOKUP(G111, Sheet1!$B$4:$C$13, 2, FALSE) + H110</f>
        <v>71.075000000000003</v>
      </c>
    </row>
    <row r="112" spans="2:8">
      <c r="B112">
        <v>3</v>
      </c>
      <c r="C112">
        <f>VLOOKUP(DataList_EnemyA!G112, Sheet1!$B$4:$C$13, 2, FALSE) +DataList_EnemyA!C111</f>
        <v>71.262500000000003</v>
      </c>
      <c r="D112">
        <v>5</v>
      </c>
      <c r="G112" t="s">
        <v>58</v>
      </c>
      <c r="H112">
        <f>VLOOKUP(G112,Sheet1!$B$4:$C$13,2,FALSE)+H111</f>
        <v>71.262500000000003</v>
      </c>
    </row>
    <row r="113" spans="2:10">
      <c r="B113">
        <v>3</v>
      </c>
      <c r="C113">
        <f>VLOOKUP(DataList_EnemyA!G113, Sheet1!$B$4:$C$13, 2, FALSE) +DataList_EnemyA!C112</f>
        <v>71.45</v>
      </c>
      <c r="D113">
        <v>3</v>
      </c>
      <c r="G113" t="s">
        <v>58</v>
      </c>
      <c r="H113">
        <f>VLOOKUP(G113,Sheet1!$B$4:$C$13,2,FALSE)+H112</f>
        <v>71.45</v>
      </c>
    </row>
    <row r="114" spans="2:10">
      <c r="B114">
        <v>3</v>
      </c>
      <c r="C114">
        <f>VLOOKUP(DataList_EnemyA!G114, Sheet1!$B$4:$C$13, 2, FALSE) +DataList_EnemyA!C113</f>
        <v>71.637500000000003</v>
      </c>
      <c r="D114">
        <v>1</v>
      </c>
      <c r="G114" t="s">
        <v>58</v>
      </c>
      <c r="H114">
        <f>VLOOKUP(G114,Sheet1!$B$4:$C$13,2,FALSE)+H113</f>
        <v>71.637500000000003</v>
      </c>
    </row>
    <row r="115" spans="2:10">
      <c r="B115">
        <v>2</v>
      </c>
      <c r="C115">
        <f>VLOOKUP(DataList_EnemyA!G115, Sheet1!$B$4:$C$13, 2, FALSE) +DataList_EnemyA!C114</f>
        <v>71.825000000000003</v>
      </c>
      <c r="D115">
        <v>9</v>
      </c>
      <c r="G115" t="s">
        <v>58</v>
      </c>
      <c r="H115">
        <f>VLOOKUP(G115,Sheet1!$B$4:$C$13,2,FALSE)+H114</f>
        <v>71.825000000000003</v>
      </c>
    </row>
    <row r="116" spans="2:10">
      <c r="B116">
        <v>2</v>
      </c>
      <c r="C116">
        <f>VLOOKUP(DataList_EnemyA!G116, Sheet1!$B$4:$C$13, 2, FALSE) +DataList_EnemyA!C115</f>
        <v>72.012500000000003</v>
      </c>
      <c r="D116">
        <v>8</v>
      </c>
      <c r="G116" t="s">
        <v>58</v>
      </c>
      <c r="H116">
        <f>VLOOKUP(G116,Sheet1!$B$4:$C$13,2,FALSE)+H115</f>
        <v>72.012500000000003</v>
      </c>
    </row>
    <row r="117" spans="2:10">
      <c r="B117">
        <v>2</v>
      </c>
      <c r="C117">
        <f>VLOOKUP(DataList_EnemyA!G117, Sheet1!$B$4:$C$13, 2, FALSE) +DataList_EnemyA!C116</f>
        <v>72.2</v>
      </c>
      <c r="D117">
        <v>6</v>
      </c>
      <c r="G117" t="s">
        <v>58</v>
      </c>
      <c r="H117">
        <f>VLOOKUP(G117, Sheet1!$B$4:$C$13, 2, FALSE) + H116</f>
        <v>72.2</v>
      </c>
    </row>
    <row r="118" spans="2:10">
      <c r="B118">
        <v>0</v>
      </c>
      <c r="C118">
        <f>VLOOKUP(DataList_EnemyA!G118, Sheet1!$B$4:$C$13, 2, FALSE) +DataList_EnemyA!C117</f>
        <v>72.387500000000003</v>
      </c>
      <c r="D118">
        <v>5</v>
      </c>
      <c r="G118" t="s">
        <v>20</v>
      </c>
      <c r="H118">
        <f>VLOOKUP(G118, Sheet1!$B$4:$C$13, 2, FALSE) + H117</f>
        <v>72.387500000000003</v>
      </c>
    </row>
    <row r="119" spans="2:10">
      <c r="B119">
        <v>1</v>
      </c>
      <c r="C119">
        <f>VLOOKUP(DataList_EnemyA!G119, Sheet1!$B$4:$C$13, 2, FALSE) +DataList_EnemyA!C118</f>
        <v>73.137500000000003</v>
      </c>
      <c r="D119">
        <v>2</v>
      </c>
      <c r="G119" t="s">
        <v>18</v>
      </c>
      <c r="H119">
        <f>VLOOKUP(G119, Sheet1!$B$4:$C$13, 2, FALSE) + H118</f>
        <v>73.137500000000003</v>
      </c>
    </row>
    <row r="120" spans="2:10">
      <c r="B120">
        <v>1</v>
      </c>
      <c r="C120">
        <f>VLOOKUP(DataList_EnemyA!G120, Sheet1!$B$4:$C$13, 2, FALSE) +DataList_EnemyA!C119</f>
        <v>73.7</v>
      </c>
      <c r="D120">
        <v>5</v>
      </c>
      <c r="G120" t="s">
        <v>23</v>
      </c>
      <c r="H120">
        <f>VLOOKUP(G120, Sheet1!$B$4:$C$13, 2, FALSE) + H119</f>
        <v>73.7</v>
      </c>
    </row>
    <row r="121" spans="2:10">
      <c r="B121">
        <v>2</v>
      </c>
      <c r="C121">
        <f>VLOOKUP(DataList_EnemyA!G121, Sheet1!$B$4:$C$13, 2, FALSE) +DataList_EnemyA!C120</f>
        <v>74.45</v>
      </c>
      <c r="D121">
        <v>7</v>
      </c>
      <c r="F121" t="s">
        <v>60</v>
      </c>
      <c r="G121" t="s">
        <v>18</v>
      </c>
      <c r="H121">
        <f>VLOOKUP(G121, Sheet1!$B$4:$C$13, 2, FALSE) + H120</f>
        <v>74.45</v>
      </c>
    </row>
    <row r="122" spans="2:10">
      <c r="B122">
        <v>2</v>
      </c>
      <c r="C122">
        <f>VLOOKUP(DataList_EnemyA!G122, Sheet1!$B$4:$C$13, 2, FALSE) +DataList_EnemyA!C121</f>
        <v>75.012500000000003</v>
      </c>
      <c r="D122">
        <v>10</v>
      </c>
      <c r="G122" t="s">
        <v>23</v>
      </c>
      <c r="H122">
        <f>VLOOKUP(G122, Sheet1!$B$4:$C$13, 2, FALSE) + H121</f>
        <v>75.012500000000003</v>
      </c>
      <c r="I122">
        <f>C121+DE</f>
        <v>75.012500000000003</v>
      </c>
    </row>
    <row r="123" spans="2:10">
      <c r="B123">
        <v>3</v>
      </c>
      <c r="C123">
        <f>VLOOKUP(DataList_EnemyA!G123, Sheet1!$B$4:$C$13, 2, FALSE) +DataList_EnemyA!C122</f>
        <v>75.387500000000003</v>
      </c>
      <c r="D123">
        <v>0</v>
      </c>
      <c r="G123" t="s">
        <v>19</v>
      </c>
      <c r="H123">
        <f>VLOOKUP(G123, Sheet1!$B$4:$C$13, 2, FALSE) + H122</f>
        <v>75.387500000000003</v>
      </c>
      <c r="I123">
        <f>C122+E</f>
        <v>75.387500000000003</v>
      </c>
    </row>
    <row r="124" spans="2:10">
      <c r="B124">
        <v>3</v>
      </c>
      <c r="C124">
        <f>VLOOKUP(DataList_EnemyA!G124, Sheet1!$B$4:$C$13, 2, FALSE) +DataList_EnemyA!C123</f>
        <v>75.95</v>
      </c>
      <c r="D124">
        <v>0</v>
      </c>
      <c r="G124" t="s">
        <v>50</v>
      </c>
      <c r="H124">
        <f>VLOOKUP(G124, Sheet1!$B$4:$C$13, 2, FALSE) + H123</f>
        <v>75.95</v>
      </c>
    </row>
    <row r="125" spans="2:10">
      <c r="B125">
        <v>3</v>
      </c>
      <c r="C125">
        <f>VLOOKUP(DataList_EnemyA!G125, Sheet1!$B$4:$C$13, 2, FALSE) +DataList_EnemyA!C124</f>
        <v>76.512500000000003</v>
      </c>
      <c r="D125">
        <v>2</v>
      </c>
      <c r="G125" t="s">
        <v>50</v>
      </c>
      <c r="H125">
        <f>VLOOKUP(G125, Sheet1!$B$4:$C$13, 2, FALSE) + H124</f>
        <v>76.512500000000003</v>
      </c>
    </row>
    <row r="126" spans="2:10">
      <c r="B126">
        <v>2</v>
      </c>
      <c r="C126">
        <f>VLOOKUP(DataList_EnemyA!G126, Sheet1!$B$4:$C$13, 2, FALSE) +DataList_EnemyA!C125</f>
        <v>76.887500000000003</v>
      </c>
      <c r="D126">
        <v>10</v>
      </c>
      <c r="G126" t="s">
        <v>19</v>
      </c>
      <c r="H126">
        <f>VLOOKUP(G126, Sheet1!$B$4:$C$13, 2, FALSE) + H125</f>
        <v>76.887500000000003</v>
      </c>
    </row>
    <row r="127" spans="2:10">
      <c r="B127">
        <v>1</v>
      </c>
      <c r="C127">
        <f>VLOOKUP(DataList_EnemyA!G127, Sheet1!$B$4:$C$13, 2, FALSE) +DataList_EnemyA!C126</f>
        <v>77.45</v>
      </c>
      <c r="D127">
        <v>7</v>
      </c>
      <c r="G127" t="s">
        <v>50</v>
      </c>
      <c r="H127">
        <f>VLOOKUP(G127, Sheet1!$B$4:$C$13, 2, FALSE) + H126</f>
        <v>77.45</v>
      </c>
      <c r="J127" cm="1">
        <f t="array" aca="1" ref="J127" ca="1">INDIRECT(G127)+C126</f>
        <v>77.45</v>
      </c>
    </row>
    <row r="128" spans="2:10">
      <c r="B128">
        <v>2</v>
      </c>
      <c r="C128">
        <f>VLOOKUP(DataList_EnemyA!G128, Sheet1!$B$4:$C$13, 2, FALSE) +DataList_EnemyA!C127</f>
        <v>77.825000000000003</v>
      </c>
      <c r="D128">
        <v>10</v>
      </c>
      <c r="G128" t="s">
        <v>19</v>
      </c>
      <c r="H128">
        <f>VLOOKUP(G128, Sheet1!$B$4:$C$13, 2, FALSE) + H127</f>
        <v>77.825000000000003</v>
      </c>
    </row>
    <row r="129" spans="2:8">
      <c r="B129">
        <v>3</v>
      </c>
      <c r="C129">
        <f>VLOOKUP(DataList_EnemyA!G129, Sheet1!$B$4:$C$13, 2, FALSE) +DataList_EnemyA!C128</f>
        <v>78.2</v>
      </c>
      <c r="D129">
        <v>0</v>
      </c>
      <c r="G129" t="s">
        <v>19</v>
      </c>
      <c r="H129">
        <f>VLOOKUP(G129, Sheet1!$B$4:$C$13, 2, FALSE) + H128</f>
        <v>78.2</v>
      </c>
    </row>
    <row r="130" spans="2:8">
      <c r="B130">
        <v>3</v>
      </c>
      <c r="C130">
        <f>VLOOKUP(DataList_EnemyA!G130, Sheet1!$B$4:$C$13, 2, FALSE) +DataList_EnemyA!C129</f>
        <v>78.762500000000003</v>
      </c>
      <c r="D130">
        <v>0</v>
      </c>
      <c r="F130" t="s">
        <v>61</v>
      </c>
      <c r="G130" t="s">
        <v>50</v>
      </c>
      <c r="H130">
        <f>VLOOKUP(G130, Sheet1!$B$4:$C$13, 2, FALSE) + H129</f>
        <v>78.762500000000003</v>
      </c>
    </row>
    <row r="131" spans="2:8">
      <c r="B131">
        <v>3</v>
      </c>
      <c r="C131">
        <f>VLOOKUP(DataList_EnemyA!G131, Sheet1!$B$4:$C$13, 2, FALSE) +DataList_EnemyA!C130</f>
        <v>79.325000000000003</v>
      </c>
      <c r="D131">
        <v>5</v>
      </c>
      <c r="G131" t="s">
        <v>50</v>
      </c>
      <c r="H131">
        <f>VLOOKUP(G131, Sheet1!$B$4:$C$13, 2, FALSE) + H130</f>
        <v>79.325000000000003</v>
      </c>
    </row>
    <row r="132" spans="2:8">
      <c r="B132">
        <v>3</v>
      </c>
      <c r="C132">
        <f>VLOOKUP(DataList_EnemyA!G132, Sheet1!$B$4:$C$13, 2, FALSE) +DataList_EnemyA!C131</f>
        <v>79.7</v>
      </c>
      <c r="D132">
        <v>7</v>
      </c>
      <c r="G132" t="s">
        <v>19</v>
      </c>
      <c r="H132">
        <f>VLOOKUP(G132, Sheet1!$B$4:$C$13, 2, FALSE) + H131</f>
        <v>79.7</v>
      </c>
    </row>
    <row r="133" spans="2:8">
      <c r="B133">
        <v>3</v>
      </c>
      <c r="C133">
        <f>VLOOKUP(DataList_EnemyA!G133, Sheet1!$B$4:$C$13, 2, FALSE) +DataList_EnemyA!C132</f>
        <v>80.075000000000003</v>
      </c>
      <c r="D133">
        <v>2</v>
      </c>
      <c r="G133" t="s">
        <v>19</v>
      </c>
      <c r="H133">
        <f>VLOOKUP(G133, Sheet1!$B$4:$C$13, 2, FALSE) + H132</f>
        <v>80.075000000000003</v>
      </c>
    </row>
    <row r="134" spans="2:8">
      <c r="B134">
        <v>3</v>
      </c>
      <c r="C134">
        <f>VLOOKUP(DataList_EnemyA!G134, Sheet1!$B$4:$C$13, 2, FALSE) +DataList_EnemyA!C133</f>
        <v>80.45</v>
      </c>
      <c r="D134">
        <v>5</v>
      </c>
      <c r="E134">
        <v>1</v>
      </c>
      <c r="G134" t="s">
        <v>19</v>
      </c>
      <c r="H134">
        <f>VLOOKUP(G134, Sheet1!$B$4:$C$13, 2, FALSE) + H133</f>
        <v>80.45</v>
      </c>
    </row>
    <row r="135" spans="2:8">
      <c r="B135">
        <v>3</v>
      </c>
      <c r="C135">
        <f>VLOOKUP(DataList_EnemyA!G135, Sheet1!$B$4:$C$13, 2, FALSE) +DataList_EnemyA!C134</f>
        <v>81.2</v>
      </c>
      <c r="D135">
        <v>10</v>
      </c>
      <c r="F135" t="s">
        <v>63</v>
      </c>
      <c r="G135" t="s">
        <v>18</v>
      </c>
      <c r="H135">
        <f>VLOOKUP(G135, Sheet1!$B$4:$C$13, 2, FALSE) + H134</f>
        <v>81.2</v>
      </c>
    </row>
    <row r="136" spans="2:8">
      <c r="B136">
        <v>3</v>
      </c>
      <c r="C136">
        <f>VLOOKUP(DataList_EnemyA!G136, Sheet1!$B$4:$C$13, 2, FALSE) +DataList_EnemyA!C135</f>
        <v>81.575000000000003</v>
      </c>
      <c r="D136">
        <v>8</v>
      </c>
      <c r="G136" t="s">
        <v>19</v>
      </c>
      <c r="H136">
        <f>VLOOKUP(G136, Sheet1!$B$4:$C$13, 2, FALSE) + H135</f>
        <v>81.575000000000003</v>
      </c>
    </row>
    <row r="137" spans="2:8">
      <c r="B137">
        <v>3</v>
      </c>
      <c r="C137">
        <f>VLOOKUP(DataList_EnemyA!G137, Sheet1!$B$4:$C$13, 2, FALSE) +DataList_EnemyA!C136</f>
        <v>81.762500000000003</v>
      </c>
      <c r="D137">
        <v>6</v>
      </c>
      <c r="G137" t="s">
        <v>20</v>
      </c>
      <c r="H137">
        <f>VLOOKUP(G137, Sheet1!$B$4:$C$13, 2, FALSE) + H136</f>
        <v>81.762500000000003</v>
      </c>
    </row>
    <row r="138" spans="2:8">
      <c r="B138">
        <v>3</v>
      </c>
      <c r="C138">
        <f>VLOOKUP(DataList_EnemyA!G138, Sheet1!$B$4:$C$13, 2, FALSE) +DataList_EnemyA!C137</f>
        <v>81.95</v>
      </c>
      <c r="D138">
        <v>5</v>
      </c>
      <c r="G138" t="s">
        <v>20</v>
      </c>
      <c r="H138">
        <f>VLOOKUP(G138, Sheet1!$B$4:$C$13, 2, FALSE) + H137</f>
        <v>81.95</v>
      </c>
    </row>
    <row r="139" spans="2:8">
      <c r="B139">
        <v>3</v>
      </c>
      <c r="C139">
        <f>VLOOKUP(DataList_EnemyA!G139, Sheet1!$B$4:$C$13, 2, FALSE) +DataList_EnemyA!C138</f>
        <v>82.325000000000003</v>
      </c>
      <c r="D139">
        <v>3</v>
      </c>
      <c r="G139" t="s">
        <v>19</v>
      </c>
      <c r="H139">
        <f>VLOOKUP(G139, Sheet1!$B$4:$C$13, 2, FALSE) + H138</f>
        <v>82.325000000000003</v>
      </c>
    </row>
    <row r="140" spans="2:8">
      <c r="B140">
        <v>3</v>
      </c>
      <c r="C140">
        <f>VLOOKUP(DataList_EnemyA!G140, Sheet1!$B$4:$C$13, 2, FALSE) +DataList_EnemyA!C139</f>
        <v>82.7</v>
      </c>
      <c r="D140">
        <v>2</v>
      </c>
      <c r="G140" t="s">
        <v>19</v>
      </c>
      <c r="H140">
        <f>VLOOKUP(G140, Sheet1!$B$4:$C$13, 2, FALSE) + H139</f>
        <v>82.7</v>
      </c>
    </row>
    <row r="141" spans="2:8">
      <c r="B141">
        <v>1</v>
      </c>
      <c r="C141">
        <f>VLOOKUP(DataList_EnemyA!G141, Sheet1!$B$4:$C$13, 2, FALSE) +DataList_EnemyA!C140</f>
        <v>83.45</v>
      </c>
      <c r="D141">
        <v>10</v>
      </c>
      <c r="G141" t="s">
        <v>18</v>
      </c>
      <c r="H141">
        <f>VLOOKUP(G141, Sheet1!$B$4:$C$13, 2, FALSE) + H140</f>
        <v>83.45</v>
      </c>
    </row>
    <row r="142" spans="2:8">
      <c r="B142">
        <v>3</v>
      </c>
      <c r="C142">
        <f>VLOOKUP(DataList_EnemyA!G142, Sheet1!$B$4:$C$13, 2, FALSE) +DataList_EnemyA!C141</f>
        <v>84.012500000000003</v>
      </c>
      <c r="D142">
        <v>0</v>
      </c>
      <c r="F142" t="s">
        <v>64</v>
      </c>
      <c r="G142" t="s">
        <v>23</v>
      </c>
      <c r="H142">
        <f>VLOOKUP(G142, Sheet1!$B$4:$C$13, 2, FALSE) + H141</f>
        <v>84.012500000000003</v>
      </c>
    </row>
    <row r="143" spans="2:8">
      <c r="B143">
        <v>2</v>
      </c>
      <c r="C143">
        <f>VLOOKUP(DataList_EnemyA!G143, Sheet1!$B$4:$C$13, 2, FALSE) +DataList_EnemyA!C142</f>
        <v>84.762500000000003</v>
      </c>
      <c r="D143">
        <v>7</v>
      </c>
      <c r="G143" t="s">
        <v>18</v>
      </c>
      <c r="H143">
        <f>VLOOKUP(G143, Sheet1!$B$4:$C$13, 2, FALSE) + H142</f>
        <v>84.762500000000003</v>
      </c>
    </row>
    <row r="144" spans="2:8">
      <c r="B144">
        <v>3</v>
      </c>
      <c r="C144">
        <f>VLOOKUP(DataList_EnemyA!G144, Sheet1!$B$4:$C$13, 2, FALSE) +DataList_EnemyA!C143</f>
        <v>85.325000000000003</v>
      </c>
      <c r="D144">
        <v>0</v>
      </c>
      <c r="G144" t="s">
        <v>23</v>
      </c>
      <c r="H144">
        <f>VLOOKUP(G144, Sheet1!$B$4:$C$13, 2, FALSE) + H143</f>
        <v>85.325000000000003</v>
      </c>
    </row>
    <row r="145" spans="2:8">
      <c r="B145">
        <v>1</v>
      </c>
      <c r="C145">
        <f>VLOOKUP(DataList_EnemyA!G145, Sheet1!$B$4:$C$13, 2, FALSE) +DataList_EnemyA!C144</f>
        <v>85.887500000000003</v>
      </c>
      <c r="D145">
        <v>10</v>
      </c>
      <c r="G145" t="s">
        <v>50</v>
      </c>
      <c r="H145">
        <f>VLOOKUP(G145, Sheet1!$B$4:$C$13, 2, FALSE) + H144</f>
        <v>85.887500000000003</v>
      </c>
    </row>
    <row r="146" spans="2:8">
      <c r="B146">
        <v>1</v>
      </c>
      <c r="C146">
        <f>VLOOKUP(DataList_EnemyA!G146, Sheet1!$B$4:$C$13, 2, FALSE) +DataList_EnemyA!C145</f>
        <v>86.637500000000003</v>
      </c>
      <c r="D146">
        <v>9</v>
      </c>
      <c r="E146">
        <v>1</v>
      </c>
      <c r="G146" t="s">
        <v>18</v>
      </c>
      <c r="H146">
        <f>VLOOKUP(G146, Sheet1!$B$4:$C$13, 2, FALSE) + H145</f>
        <v>86.637500000000003</v>
      </c>
    </row>
    <row r="147" spans="2:8">
      <c r="B147">
        <v>3</v>
      </c>
      <c r="C147">
        <f>VLOOKUP(DataList_EnemyA!G147, Sheet1!$B$4:$C$13, 2, FALSE) +DataList_EnemyA!C146</f>
        <v>87.2</v>
      </c>
      <c r="D147">
        <v>0</v>
      </c>
      <c r="F147" t="s">
        <v>65</v>
      </c>
      <c r="G147" t="s">
        <v>50</v>
      </c>
      <c r="H147">
        <f>VLOOKUP(G147, Sheet1!$B$4:$C$13, 2, FALSE) + H146</f>
        <v>87.2</v>
      </c>
    </row>
    <row r="148" spans="2:8">
      <c r="B148">
        <v>3</v>
      </c>
      <c r="C148">
        <f>VLOOKUP(DataList_EnemyA!G148, Sheet1!$B$4:$C$13, 2, FALSE) +DataList_EnemyA!C147</f>
        <v>87.762500000000003</v>
      </c>
      <c r="D148">
        <v>0</v>
      </c>
      <c r="G148" t="s">
        <v>50</v>
      </c>
      <c r="H148">
        <f>VLOOKUP(G148, Sheet1!$B$4:$C$13, 2, FALSE) + H147</f>
        <v>87.762500000000003</v>
      </c>
    </row>
    <row r="149" spans="2:8">
      <c r="B149">
        <v>3</v>
      </c>
      <c r="C149">
        <f>VLOOKUP(DataList_EnemyA!G149, Sheet1!$B$4:$C$13, 2, FALSE) +DataList_EnemyA!C148</f>
        <v>88.325000000000003</v>
      </c>
      <c r="D149">
        <v>2</v>
      </c>
      <c r="G149" t="s">
        <v>50</v>
      </c>
      <c r="H149">
        <f>VLOOKUP(G149, Sheet1!$B$4:$C$13, 2, FALSE) + H148</f>
        <v>88.325000000000003</v>
      </c>
    </row>
    <row r="150" spans="2:8">
      <c r="B150">
        <v>2</v>
      </c>
      <c r="C150">
        <f>VLOOKUP(DataList_EnemyA!G150, Sheet1!$B$4:$C$13, 2, FALSE) +DataList_EnemyA!C149</f>
        <v>88.887500000000003</v>
      </c>
      <c r="D150">
        <v>10</v>
      </c>
      <c r="G150" t="s">
        <v>50</v>
      </c>
      <c r="H150">
        <f>VLOOKUP(G150, Sheet1!$B$4:$C$13, 2, FALSE) + H149</f>
        <v>88.887500000000003</v>
      </c>
    </row>
    <row r="151" spans="2:8">
      <c r="B151">
        <v>2</v>
      </c>
      <c r="C151">
        <f>VLOOKUP(DataList_EnemyA!G151, Sheet1!$B$4:$C$13, 2, FALSE) +DataList_EnemyA!C150</f>
        <v>89.45</v>
      </c>
      <c r="D151">
        <v>7</v>
      </c>
      <c r="G151" t="s">
        <v>23</v>
      </c>
      <c r="H151">
        <f>VLOOKUP(G151, Sheet1!$B$4:$C$13, 2, FALSE) + H150</f>
        <v>89.45</v>
      </c>
    </row>
    <row r="152" spans="2:8">
      <c r="B152">
        <v>2</v>
      </c>
      <c r="C152">
        <f>VLOOKUP(DataList_EnemyA!G152, Sheet1!$B$4:$C$13, 2, FALSE) +DataList_EnemyA!C151</f>
        <v>89.825000000000003</v>
      </c>
      <c r="D152">
        <v>10</v>
      </c>
      <c r="G152" t="s">
        <v>19</v>
      </c>
      <c r="H152">
        <f>VLOOKUP(G152, Sheet1!$B$4:$C$13, 2, FALSE) + H151</f>
        <v>89.825000000000003</v>
      </c>
    </row>
    <row r="153" spans="2:8">
      <c r="B153">
        <v>3</v>
      </c>
      <c r="C153">
        <f>VLOOKUP(DataList_EnemyA!G153, Sheet1!$B$4:$C$13, 2, FALSE) +DataList_EnemyA!C152</f>
        <v>90.387500000000003</v>
      </c>
      <c r="D153">
        <v>0</v>
      </c>
      <c r="E153">
        <v>1</v>
      </c>
      <c r="F153" t="s">
        <v>66</v>
      </c>
      <c r="G153" t="s">
        <v>50</v>
      </c>
      <c r="H153">
        <f>VLOOKUP(G153, Sheet1!$B$4:$C$13, 2, FALSE) + H152</f>
        <v>90.387500000000003</v>
      </c>
    </row>
    <row r="154" spans="2:8">
      <c r="B154">
        <v>3</v>
      </c>
      <c r="C154">
        <f>VLOOKUP(DataList_EnemyA!G154, Sheet1!$B$4:$C$13, 2, FALSE) +DataList_EnemyA!C153</f>
        <v>90.762500000000003</v>
      </c>
      <c r="D154">
        <v>5</v>
      </c>
      <c r="G154" t="s">
        <v>56</v>
      </c>
      <c r="H154">
        <f>VLOOKUP(G154, Sheet1!$B$4:$C$13, 2, FALSE) + H153</f>
        <v>90.762500000000003</v>
      </c>
    </row>
    <row r="155" spans="2:8">
      <c r="B155">
        <v>3</v>
      </c>
      <c r="C155">
        <f>VLOOKUP(DataList_EnemyA!G155, Sheet1!$B$4:$C$13, 2, FALSE) +DataList_EnemyA!C154</f>
        <v>91.137500000000003</v>
      </c>
      <c r="D155">
        <v>2</v>
      </c>
      <c r="G155" t="s">
        <v>56</v>
      </c>
      <c r="H155">
        <f>VLOOKUP(G155, Sheet1!$B$4:$C$13, 2, FALSE) + H154</f>
        <v>91.137500000000003</v>
      </c>
    </row>
    <row r="156" spans="2:8">
      <c r="B156">
        <v>3</v>
      </c>
      <c r="C156">
        <f>VLOOKUP(DataList_EnemyA!G156, Sheet1!$B$4:$C$13, 2, FALSE) +DataList_EnemyA!C155</f>
        <v>91.512500000000003</v>
      </c>
      <c r="D156">
        <v>0</v>
      </c>
      <c r="G156" t="s">
        <v>56</v>
      </c>
      <c r="H156">
        <f>VLOOKUP(G156, Sheet1!$B$4:$C$13, 2, FALSE) + H155</f>
        <v>91.512500000000003</v>
      </c>
    </row>
    <row r="157" spans="2:8">
      <c r="B157">
        <v>1</v>
      </c>
      <c r="C157">
        <f>VLOOKUP(DataList_EnemyA!G157, Sheet1!$B$4:$C$13, 2, FALSE) +DataList_EnemyA!C156</f>
        <v>91.887500000000003</v>
      </c>
      <c r="D157">
        <v>10</v>
      </c>
      <c r="E157">
        <v>1</v>
      </c>
      <c r="G157" t="s">
        <v>56</v>
      </c>
      <c r="H157">
        <f>VLOOKUP(G157, Sheet1!$B$4:$C$13, 2, FALSE) + H156</f>
        <v>91.887500000000003</v>
      </c>
    </row>
    <row r="158" spans="2:8">
      <c r="B158">
        <v>3</v>
      </c>
      <c r="C158">
        <f>VLOOKUP(DataList_EnemyA!G158, Sheet1!$B$4:$C$13, 2, FALSE) +DataList_EnemyA!C157</f>
        <v>92.637500000000003</v>
      </c>
      <c r="D158">
        <v>1</v>
      </c>
      <c r="F158" t="s">
        <v>67</v>
      </c>
      <c r="G158" t="s">
        <v>62</v>
      </c>
      <c r="H158">
        <f>VLOOKUP(G158, Sheet1!$B$4:$C$13, 2, FALSE) + H157</f>
        <v>92.637500000000003</v>
      </c>
    </row>
    <row r="159" spans="2:8">
      <c r="B159">
        <v>3</v>
      </c>
      <c r="C159">
        <f>VLOOKUP(DataList_EnemyA!G159, Sheet1!$B$4:$C$13, 2, FALSE) +DataList_EnemyA!C158</f>
        <v>93.012500000000003</v>
      </c>
      <c r="D159">
        <v>0</v>
      </c>
      <c r="G159" t="s">
        <v>19</v>
      </c>
      <c r="H159">
        <f>VLOOKUP(G159, Sheet1!$B$4:$C$13, 2, FALSE) + H158</f>
        <v>93.012500000000003</v>
      </c>
    </row>
    <row r="160" spans="2:8">
      <c r="B160">
        <v>1</v>
      </c>
      <c r="C160">
        <f>VLOOKUP(DataList_EnemyA!G160, Sheet1!$B$4:$C$13, 2, FALSE) +DataList_EnemyA!C159</f>
        <v>93.387500000000003</v>
      </c>
      <c r="D160">
        <v>10</v>
      </c>
      <c r="G160" t="s">
        <v>19</v>
      </c>
      <c r="H160">
        <f>VLOOKUP(G160, Sheet1!$B$4:$C$13, 2, FALSE) + H159</f>
        <v>93.387500000000003</v>
      </c>
    </row>
    <row r="161" spans="2:9">
      <c r="B161">
        <v>2</v>
      </c>
      <c r="C161">
        <f>VLOOKUP(DataList_EnemyA!G161, Sheet1!$B$4:$C$13, 2, FALSE) +DataList_EnemyA!C160</f>
        <v>94.137500000000003</v>
      </c>
      <c r="D161">
        <v>10</v>
      </c>
      <c r="G161" t="s">
        <v>18</v>
      </c>
      <c r="H161">
        <f>VLOOKUP(G161, Sheet1!$B$4:$C$13, 2, FALSE) + H160</f>
        <v>94.137500000000003</v>
      </c>
    </row>
    <row r="162" spans="2:9">
      <c r="B162">
        <v>3</v>
      </c>
      <c r="C162">
        <f>VLOOKUP(DataList_EnemyA!G162, Sheet1!$B$4:$C$13, 2, FALSE) +DataList_EnemyA!C161</f>
        <v>94.887500000000003</v>
      </c>
      <c r="D162">
        <v>10</v>
      </c>
      <c r="G162" t="s">
        <v>18</v>
      </c>
      <c r="H162">
        <f>VLOOKUP(G162, Sheet1!$B$4:$C$13, 2, FALSE) + H161</f>
        <v>94.887500000000003</v>
      </c>
    </row>
    <row r="163" spans="2:9">
      <c r="B163">
        <v>2</v>
      </c>
      <c r="C163">
        <f>VLOOKUP(DataList_EnemyA!G163, Sheet1!$B$4:$C$13, 2, FALSE) +DataList_EnemyA!C162</f>
        <v>96.012500000000003</v>
      </c>
      <c r="D163">
        <v>10</v>
      </c>
      <c r="G163" t="s">
        <v>51</v>
      </c>
      <c r="H163">
        <f>VLOOKUP(G163, Sheet1!$B$4:$C$13, 2, FALSE) + H162</f>
        <v>96.012500000000003</v>
      </c>
    </row>
    <row r="164" spans="2:9">
      <c r="B164">
        <v>1</v>
      </c>
      <c r="C164">
        <f>VLOOKUP(DataList_EnemyA!G164, Sheet1!$B$4:$C$13, 2, FALSE) +DataList_EnemyA!C163</f>
        <v>97.137500000000003</v>
      </c>
      <c r="D164">
        <v>5</v>
      </c>
      <c r="G164" t="s">
        <v>51</v>
      </c>
      <c r="H164">
        <f>VLOOKUP(G164, Sheet1!$B$4:$C$13, 2, FALSE) + H163</f>
        <v>97.137500000000003</v>
      </c>
    </row>
    <row r="165" spans="2:9">
      <c r="B165">
        <v>2</v>
      </c>
      <c r="C165">
        <f>VLOOKUP(DataList_EnemyA!G165, Sheet1!$B$4:$C$13, 2, FALSE) +DataList_EnemyA!C164</f>
        <v>97.512500000000003</v>
      </c>
      <c r="D165">
        <v>10</v>
      </c>
      <c r="G165" t="s">
        <v>19</v>
      </c>
      <c r="H165">
        <f>VLOOKUP(G165, Sheet1!$B$4:$C$13, 2, FALSE) + H164</f>
        <v>97.512500000000003</v>
      </c>
    </row>
    <row r="166" spans="2:9">
      <c r="B166">
        <v>3</v>
      </c>
      <c r="C166">
        <f>VLOOKUP(DataList_EnemyA!G166, Sheet1!$B$4:$C$13, 2, FALSE) +DataList_EnemyA!C165</f>
        <v>98.075000000000003</v>
      </c>
      <c r="D166">
        <v>0</v>
      </c>
      <c r="G166" t="s">
        <v>50</v>
      </c>
      <c r="H166">
        <f>VLOOKUP(G166, Sheet1!$B$4:$C$13, 2, FALSE) + H165</f>
        <v>98.075000000000003</v>
      </c>
    </row>
    <row r="167" spans="2:9">
      <c r="B167">
        <v>1</v>
      </c>
      <c r="C167">
        <f>VLOOKUP(DataList_EnemyA!G167, Sheet1!$B$4:$C$13, 2, FALSE) +DataList_EnemyA!C166</f>
        <v>99.2</v>
      </c>
      <c r="D167">
        <v>5</v>
      </c>
      <c r="F167" t="s">
        <v>68</v>
      </c>
      <c r="G167" t="s">
        <v>51</v>
      </c>
      <c r="H167">
        <f>VLOOKUP(G167, Sheet1!$B$4:$C$13, 2, FALSE) + H166</f>
        <v>99.2</v>
      </c>
      <c r="I167" t="s">
        <v>17</v>
      </c>
    </row>
    <row r="168" spans="2:9">
      <c r="B168">
        <v>2</v>
      </c>
      <c r="C168">
        <f>VLOOKUP(DataList_EnemyA!G168, Sheet1!$B$4:$C$13, 2, FALSE) +DataList_EnemyA!C167</f>
        <v>100.7</v>
      </c>
      <c r="D168">
        <v>6</v>
      </c>
      <c r="G168" t="s">
        <v>17</v>
      </c>
      <c r="H168">
        <f>VLOOKUP(G168, Sheet1!$B$4:$C$13, 2, FALSE) + H167</f>
        <v>100.7</v>
      </c>
      <c r="I168" t="s">
        <v>17</v>
      </c>
    </row>
    <row r="169" spans="2:9">
      <c r="B169">
        <v>1</v>
      </c>
      <c r="C169">
        <f>VLOOKUP(DataList_EnemyA!G169, Sheet1!$B$4:$C$13, 2, FALSE) +DataList_EnemyA!C168</f>
        <v>101.825</v>
      </c>
      <c r="D169">
        <v>9</v>
      </c>
      <c r="G169" t="s">
        <v>22</v>
      </c>
      <c r="H169">
        <f>VLOOKUP(G169, Sheet1!$B$4:$C$13, 2, FALSE) + H168</f>
        <v>101.825</v>
      </c>
      <c r="I169" t="s">
        <v>22</v>
      </c>
    </row>
    <row r="170" spans="2:9">
      <c r="B170">
        <v>2</v>
      </c>
      <c r="C170">
        <f>VLOOKUP(DataList_EnemyA!G170, Sheet1!$B$4:$C$13, 2, FALSE) +DataList_EnemyA!C169</f>
        <v>102.0125</v>
      </c>
      <c r="D170">
        <v>10</v>
      </c>
      <c r="G170" t="s">
        <v>20</v>
      </c>
      <c r="H170">
        <f>VLOOKUP(G170, Sheet1!$B$4:$C$13, 2, FALSE) + H169</f>
        <v>102.0125</v>
      </c>
      <c r="I170" t="s">
        <v>20</v>
      </c>
    </row>
    <row r="171" spans="2:9">
      <c r="B171">
        <v>3</v>
      </c>
      <c r="C171">
        <f>VLOOKUP(DataList_EnemyA!G171, Sheet1!$B$4:$C$13, 2, FALSE) +DataList_EnemyA!C170</f>
        <v>102.3875</v>
      </c>
      <c r="D171">
        <v>0</v>
      </c>
      <c r="G171" t="s">
        <v>19</v>
      </c>
      <c r="H171">
        <f>VLOOKUP(G171, Sheet1!$B$4:$C$13, 2, FALSE) + H170</f>
        <v>102.3875</v>
      </c>
      <c r="I171" t="s">
        <v>19</v>
      </c>
    </row>
    <row r="172" spans="2:9">
      <c r="B172">
        <v>2</v>
      </c>
      <c r="C172">
        <f>VLOOKUP(DataList_EnemyA!G172, Sheet1!$B$4:$C$13, 2, FALSE) +DataList_EnemyA!C171</f>
        <v>103.5125</v>
      </c>
      <c r="D172">
        <v>10</v>
      </c>
      <c r="G172" t="s">
        <v>22</v>
      </c>
      <c r="H172">
        <f>VLOOKUP(G172, Sheet1!$B$4:$C$13, 2, FALSE) + H171</f>
        <v>103.5125</v>
      </c>
      <c r="I172" t="s">
        <v>22</v>
      </c>
    </row>
    <row r="173" spans="2:9">
      <c r="B173">
        <v>3</v>
      </c>
      <c r="C173">
        <f>VLOOKUP(DataList_EnemyA!G173, Sheet1!$B$4:$C$13, 2, FALSE) +DataList_EnemyA!C172</f>
        <v>103.8875</v>
      </c>
      <c r="D173">
        <v>0</v>
      </c>
      <c r="E173">
        <v>1</v>
      </c>
      <c r="G173" t="s">
        <v>19</v>
      </c>
      <c r="H173">
        <f>VLOOKUP(G173, Sheet1!$B$4:$C$13, 2, FALSE) + H172</f>
        <v>103.8875</v>
      </c>
      <c r="I173" t="s">
        <v>19</v>
      </c>
    </row>
    <row r="174" spans="2:9">
      <c r="B174">
        <v>1</v>
      </c>
      <c r="C174">
        <f>VLOOKUP(DataList_EnemyA!G174, Sheet1!$B$4:$C$13, 2, FALSE) +DataList_EnemyA!C173</f>
        <v>105.3875</v>
      </c>
      <c r="D174">
        <v>5</v>
      </c>
      <c r="F174" t="s">
        <v>69</v>
      </c>
      <c r="G174" t="s">
        <v>17</v>
      </c>
      <c r="H174">
        <f>VLOOKUP(G174, Sheet1!$B$4:$C$13, 2, FALSE) + H173</f>
        <v>105.3875</v>
      </c>
      <c r="I174" t="s">
        <v>17</v>
      </c>
    </row>
    <row r="175" spans="2:9">
      <c r="B175">
        <v>2</v>
      </c>
      <c r="C175">
        <f>VLOOKUP(DataList_EnemyA!G175, Sheet1!$B$4:$C$13, 2, FALSE) +DataList_EnemyA!C174</f>
        <v>106.1375</v>
      </c>
      <c r="D175">
        <v>9</v>
      </c>
      <c r="G175" t="s">
        <v>62</v>
      </c>
      <c r="H175">
        <f>VLOOKUP(G175, Sheet1!$B$4:$C$13, 2, FALSE) + H174</f>
        <v>106.1375</v>
      </c>
      <c r="I175" t="s">
        <v>18</v>
      </c>
    </row>
    <row r="176" spans="2:9">
      <c r="B176">
        <v>2</v>
      </c>
      <c r="C176">
        <f>VLOOKUP(DataList_EnemyA!G176, Sheet1!$B$4:$C$13, 2, FALSE) +DataList_EnemyA!C175</f>
        <v>106.5125</v>
      </c>
      <c r="D176">
        <v>10</v>
      </c>
      <c r="G176" t="s">
        <v>56</v>
      </c>
      <c r="H176">
        <f>VLOOKUP(G176, Sheet1!$B$4:$C$13, 2, FALSE) + H175</f>
        <v>106.5125</v>
      </c>
      <c r="I176" t="s">
        <v>19</v>
      </c>
    </row>
    <row r="177" spans="2:9">
      <c r="B177">
        <v>3</v>
      </c>
      <c r="C177">
        <f>VLOOKUP(DataList_EnemyA!G177, Sheet1!$B$4:$C$13, 2, FALSE) +DataList_EnemyA!C176</f>
        <v>106.79375</v>
      </c>
      <c r="D177">
        <v>0</v>
      </c>
      <c r="G177" t="s">
        <v>24</v>
      </c>
      <c r="H177">
        <f>VLOOKUP(G177, Sheet1!$B$4:$C$13, 2, FALSE) + H176</f>
        <v>106.79375</v>
      </c>
      <c r="I177" t="s">
        <v>24</v>
      </c>
    </row>
    <row r="178" spans="2:9">
      <c r="B178">
        <v>3</v>
      </c>
      <c r="C178">
        <f>VLOOKUP(DataList_EnemyA!G178, Sheet1!$B$4:$C$13, 2, FALSE) +DataList_EnemyA!C177</f>
        <v>107.91875</v>
      </c>
      <c r="D178">
        <v>0</v>
      </c>
      <c r="G178" t="s">
        <v>51</v>
      </c>
      <c r="H178">
        <f>VLOOKUP(G178, Sheet1!$B$4:$C$13, 2, FALSE) + H177</f>
        <v>107.91875</v>
      </c>
      <c r="I178" t="s">
        <v>51</v>
      </c>
    </row>
    <row r="179" spans="2:9">
      <c r="B179">
        <v>3</v>
      </c>
      <c r="C179">
        <f>VLOOKUP(DataList_EnemyA!G179, Sheet1!$B$4:$C$13, 2, FALSE) +DataList_EnemyA!C178</f>
        <v>108.2</v>
      </c>
      <c r="D179">
        <v>2</v>
      </c>
      <c r="G179" t="s">
        <v>57</v>
      </c>
      <c r="H179">
        <f>VLOOKUP(G179, Sheet1!$B$4:$C$13, 2, FALSE) + H178</f>
        <v>108.2</v>
      </c>
      <c r="I179" t="s">
        <v>57</v>
      </c>
    </row>
    <row r="180" spans="2:9">
      <c r="B180">
        <v>3</v>
      </c>
      <c r="C180">
        <f>VLOOKUP(DataList_EnemyA!G180, Sheet1!$B$4:$C$13, 2, FALSE) +DataList_EnemyA!C179</f>
        <v>108.48125</v>
      </c>
      <c r="D180">
        <v>3</v>
      </c>
      <c r="G180" t="s">
        <v>57</v>
      </c>
      <c r="H180">
        <f>VLOOKUP(G180, Sheet1!$B$4:$C$13, 2, FALSE) + H179</f>
        <v>108.48125</v>
      </c>
      <c r="I180" t="s">
        <v>57</v>
      </c>
    </row>
    <row r="181" spans="2:9">
      <c r="B181">
        <v>3</v>
      </c>
      <c r="C181">
        <f>VLOOKUP(DataList_EnemyA!G181, Sheet1!$B$4:$C$13, 2, FALSE) +DataList_EnemyA!C180</f>
        <v>109.04375</v>
      </c>
      <c r="D181">
        <v>2</v>
      </c>
      <c r="G181" t="s">
        <v>50</v>
      </c>
      <c r="H181">
        <f>VLOOKUP(G181, Sheet1!$B$4:$C$13, 2, FALSE) + H180</f>
        <v>109.04375</v>
      </c>
      <c r="I181" t="s">
        <v>50</v>
      </c>
    </row>
    <row r="182" spans="2:9">
      <c r="B182">
        <v>2</v>
      </c>
      <c r="C182">
        <f>VLOOKUP(DataList_EnemyA!G182, Sheet1!$B$4:$C$13, 2, FALSE) +DataList_EnemyA!C181</f>
        <v>109.79375</v>
      </c>
      <c r="D182">
        <v>10</v>
      </c>
      <c r="G182" t="s">
        <v>62</v>
      </c>
      <c r="H182">
        <f>VLOOKUP(G182, Sheet1!$B$4:$C$13, 2, FALSE) + H181</f>
        <v>109.79375</v>
      </c>
      <c r="I182" t="s">
        <v>18</v>
      </c>
    </row>
    <row r="183" spans="2:9">
      <c r="B183">
        <v>1</v>
      </c>
      <c r="C183">
        <f>VLOOKUP(DataList_EnemyA!G183, Sheet1!$B$4:$C$13, 2, FALSE) +DataList_EnemyA!C182</f>
        <v>110.54375</v>
      </c>
      <c r="D183">
        <v>5</v>
      </c>
      <c r="G183" t="s">
        <v>62</v>
      </c>
      <c r="H183">
        <f>VLOOKUP(G183, Sheet1!$B$4:$C$13, 2, FALSE) + H182</f>
        <v>110.54375</v>
      </c>
      <c r="I183" t="s">
        <v>18</v>
      </c>
    </row>
    <row r="184" spans="2:9">
      <c r="B184">
        <v>3</v>
      </c>
      <c r="C184">
        <f>VLOOKUP(DataList_EnemyA!G184, Sheet1!$B$4:$C$13, 2, FALSE) +DataList_EnemyA!C183</f>
        <v>111.29375</v>
      </c>
      <c r="D184">
        <v>10</v>
      </c>
      <c r="F184" t="s">
        <v>70</v>
      </c>
      <c r="G184" t="s">
        <v>62</v>
      </c>
      <c r="H184">
        <f>VLOOKUP(G184, Sheet1!$B$4:$C$13, 2, FALSE) + H183</f>
        <v>111.29375</v>
      </c>
      <c r="I184" t="s">
        <v>18</v>
      </c>
    </row>
    <row r="185" spans="2:9">
      <c r="B185">
        <v>3</v>
      </c>
      <c r="C185">
        <f>VLOOKUP(DataList_EnemyA!G185, Sheet1!$B$4:$C$13, 2, FALSE) +DataList_EnemyA!C184</f>
        <v>111.48125</v>
      </c>
      <c r="D185">
        <v>9</v>
      </c>
      <c r="G185" t="s">
        <v>58</v>
      </c>
      <c r="H185">
        <f>VLOOKUP(G185, Sheet1!$B$4:$C$13, 2, FALSE) + H184</f>
        <v>111.48125</v>
      </c>
    </row>
    <row r="186" spans="2:9">
      <c r="B186">
        <v>3</v>
      </c>
      <c r="C186">
        <f>VLOOKUP(DataList_EnemyA!G186, Sheet1!$B$4:$C$13, 2, FALSE) +DataList_EnemyA!C185</f>
        <v>111.66875</v>
      </c>
      <c r="D186">
        <v>8</v>
      </c>
      <c r="G186" t="s">
        <v>58</v>
      </c>
      <c r="H186">
        <f>VLOOKUP(G186, Sheet1!$B$4:$C$13, 2, FALSE) + H185</f>
        <v>111.66875</v>
      </c>
    </row>
    <row r="187" spans="2:9">
      <c r="B187">
        <v>3</v>
      </c>
      <c r="C187">
        <f>VLOOKUP(DataList_EnemyA!G187, Sheet1!$B$4:$C$13, 2, FALSE) +DataList_EnemyA!C186</f>
        <v>111.85625</v>
      </c>
      <c r="D187">
        <v>7</v>
      </c>
      <c r="G187" t="s">
        <v>58</v>
      </c>
      <c r="H187">
        <f>VLOOKUP(G187, Sheet1!$B$4:$C$13, 2, FALSE) + H186</f>
        <v>111.85625</v>
      </c>
    </row>
    <row r="188" spans="2:9">
      <c r="B188">
        <v>3</v>
      </c>
      <c r="C188">
        <f>VLOOKUP(DataList_EnemyA!G188, Sheet1!$B$4:$C$13, 2, FALSE) +DataList_EnemyA!C187</f>
        <v>112.23125</v>
      </c>
      <c r="D188">
        <v>2</v>
      </c>
      <c r="F188" t="s">
        <v>71</v>
      </c>
      <c r="G188" t="s">
        <v>19</v>
      </c>
      <c r="H188">
        <f>VLOOKUP(G188, Sheet1!$B$4:$C$13, 2, FALSE) + H187</f>
        <v>112.23125</v>
      </c>
    </row>
    <row r="189" spans="2:9">
      <c r="B189">
        <v>3</v>
      </c>
      <c r="C189">
        <f>VLOOKUP(DataList_EnemyA!G189, Sheet1!$B$4:$C$13, 2, FALSE) +DataList_EnemyA!C188</f>
        <v>113.73125</v>
      </c>
      <c r="D189">
        <v>0</v>
      </c>
      <c r="G189" t="s">
        <v>17</v>
      </c>
      <c r="H189">
        <f>VLOOKUP(G189, Sheet1!$B$4:$C$13, 2, FALSE) + H188</f>
        <v>113.73125</v>
      </c>
      <c r="I189" t="s">
        <v>17</v>
      </c>
    </row>
    <row r="190" spans="2:9">
      <c r="B190">
        <v>3</v>
      </c>
      <c r="C190">
        <f>VLOOKUP(DataList_EnemyA!G190, Sheet1!$B$4:$C$13, 2, FALSE) +DataList_EnemyA!C189</f>
        <v>115.23125</v>
      </c>
      <c r="D190">
        <v>0</v>
      </c>
      <c r="G190" t="s">
        <v>17</v>
      </c>
      <c r="H190">
        <f>VLOOKUP(G190, Sheet1!$B$4:$C$13, 2, FALSE) + H189</f>
        <v>115.23125</v>
      </c>
      <c r="I190" t="s">
        <v>52</v>
      </c>
    </row>
    <row r="191" spans="2:9">
      <c r="B191">
        <v>3</v>
      </c>
      <c r="C191">
        <f>VLOOKUP(DataList_EnemyA!G191, Sheet1!$B$4:$C$13, 2, FALSE) +DataList_EnemyA!C190</f>
        <v>115.60625</v>
      </c>
      <c r="D191">
        <v>2</v>
      </c>
      <c r="G191" t="s">
        <v>19</v>
      </c>
      <c r="H191">
        <f>VLOOKUP(G191, Sheet1!$B$4:$C$13, 2, FALSE) + H190</f>
        <v>115.60625</v>
      </c>
      <c r="I191" t="s">
        <v>56</v>
      </c>
    </row>
    <row r="192" spans="2:9">
      <c r="B192">
        <v>3</v>
      </c>
      <c r="C192">
        <f>VLOOKUP(DataList_EnemyA!G192, Sheet1!$B$4:$C$13, 2, FALSE) +DataList_EnemyA!C191</f>
        <v>115.98125</v>
      </c>
      <c r="D192">
        <v>5</v>
      </c>
      <c r="G192" t="s">
        <v>19</v>
      </c>
      <c r="H192">
        <f>VLOOKUP(G192, Sheet1!$B$4:$C$13, 2, FALSE) + H191</f>
        <v>115.98125</v>
      </c>
      <c r="I192" t="s">
        <v>56</v>
      </c>
    </row>
    <row r="193" spans="2:9">
      <c r="B193">
        <v>3</v>
      </c>
      <c r="C193">
        <f>VLOOKUP(DataList_EnemyA!G193, Sheet1!$B$4:$C$13, 2, FALSE) +DataList_EnemyA!C192</f>
        <v>116.35625</v>
      </c>
      <c r="D193">
        <v>2</v>
      </c>
      <c r="G193" t="s">
        <v>19</v>
      </c>
      <c r="H193">
        <f>VLOOKUP(G193, Sheet1!$B$4:$C$13, 2, FALSE) + H192</f>
        <v>116.35625</v>
      </c>
      <c r="I193" t="s">
        <v>56</v>
      </c>
    </row>
    <row r="194" spans="2:9">
      <c r="B194">
        <v>1</v>
      </c>
      <c r="C194">
        <f>VLOOKUP(DataList_EnemyA!G194, Sheet1!$B$4:$C$13, 2, FALSE) +DataList_EnemyA!C193</f>
        <v>116.91875</v>
      </c>
      <c r="D194">
        <v>10</v>
      </c>
      <c r="G194" t="s">
        <v>50</v>
      </c>
      <c r="H194">
        <f>VLOOKUP(G194, Sheet1!$B$4:$C$13, 2, FALSE) + H193</f>
        <v>116.91875</v>
      </c>
      <c r="I194" t="s">
        <v>50</v>
      </c>
    </row>
    <row r="195" spans="2:9">
      <c r="B195">
        <v>3</v>
      </c>
      <c r="C195">
        <f>VLOOKUP(DataList_EnemyA!G195, Sheet1!$B$4:$C$13, 2, FALSE) +DataList_EnemyA!C194</f>
        <v>118.04375</v>
      </c>
      <c r="D195">
        <v>5</v>
      </c>
      <c r="F195" t="s">
        <v>72</v>
      </c>
      <c r="G195" t="s">
        <v>51</v>
      </c>
      <c r="H195">
        <f>VLOOKUP(G195, Sheet1!$B$4:$C$13, 2, FALSE) + H194</f>
        <v>118.04375</v>
      </c>
      <c r="I195" t="s">
        <v>51</v>
      </c>
    </row>
    <row r="196" spans="2:9">
      <c r="B196">
        <v>3</v>
      </c>
      <c r="C196">
        <f>VLOOKUP(DataList_EnemyA!G196, Sheet1!$B$4:$C$13, 2, FALSE) +DataList_EnemyA!C195</f>
        <v>118.41875</v>
      </c>
      <c r="D196">
        <v>2</v>
      </c>
      <c r="G196" t="s">
        <v>56</v>
      </c>
      <c r="H196">
        <f>VLOOKUP(G196, Sheet1!$B$4:$C$13, 2, FALSE) + H195</f>
        <v>118.41875</v>
      </c>
      <c r="I196" t="s">
        <v>56</v>
      </c>
    </row>
    <row r="197" spans="2:9">
      <c r="B197">
        <v>3</v>
      </c>
      <c r="C197">
        <f>VLOOKUP(DataList_EnemyA!G197, Sheet1!$B$4:$C$13, 2, FALSE) +DataList_EnemyA!C196</f>
        <v>119.16875</v>
      </c>
      <c r="D197">
        <v>0</v>
      </c>
      <c r="G197" t="s">
        <v>18</v>
      </c>
      <c r="H197">
        <f>VLOOKUP(G197, Sheet1!$B$4:$C$13, 2, FALSE) + H196</f>
        <v>119.16875</v>
      </c>
      <c r="I197" t="s">
        <v>18</v>
      </c>
    </row>
    <row r="198" spans="2:9">
      <c r="B198">
        <v>3</v>
      </c>
      <c r="C198">
        <f>VLOOKUP(DataList_EnemyA!G198, Sheet1!$B$4:$C$13, 2, FALSE) +DataList_EnemyA!C197</f>
        <v>119.54375</v>
      </c>
      <c r="D198">
        <v>2</v>
      </c>
      <c r="G198" t="s">
        <v>56</v>
      </c>
      <c r="H198">
        <f>VLOOKUP(G198, Sheet1!$B$4:$C$13, 2, FALSE) + H197</f>
        <v>119.54375</v>
      </c>
      <c r="I198" t="s">
        <v>56</v>
      </c>
    </row>
    <row r="199" spans="2:9">
      <c r="B199">
        <v>2</v>
      </c>
      <c r="C199">
        <f>VLOOKUP(DataList_EnemyA!G199, Sheet1!$B$4:$C$13, 2, FALSE) +DataList_EnemyA!C198</f>
        <v>121.04375</v>
      </c>
      <c r="D199">
        <v>9</v>
      </c>
      <c r="F199" t="s">
        <v>73</v>
      </c>
      <c r="G199" t="s">
        <v>52</v>
      </c>
      <c r="H199">
        <f>VLOOKUP(G199, Sheet1!$B$4:$C$13, 2, FALSE) + H198</f>
        <v>121.04375</v>
      </c>
      <c r="I199" t="s">
        <v>52</v>
      </c>
    </row>
    <row r="200" spans="2:9">
      <c r="B200">
        <v>2</v>
      </c>
      <c r="C200">
        <f>VLOOKUP(DataList_EnemyA!G200, Sheet1!$B$4:$C$13, 2, FALSE) +DataList_EnemyA!C199</f>
        <v>121.23125</v>
      </c>
      <c r="D200">
        <v>10</v>
      </c>
      <c r="G200" t="s">
        <v>58</v>
      </c>
      <c r="H200">
        <f>VLOOKUP(G200, Sheet1!$B$4:$C$13, 2, FALSE) + H199</f>
        <v>121.23125</v>
      </c>
      <c r="I200" t="s">
        <v>56</v>
      </c>
    </row>
    <row r="201" spans="2:9">
      <c r="B201">
        <v>3</v>
      </c>
      <c r="C201">
        <f>VLOOKUP(DataList_EnemyA!G201, Sheet1!$B$4:$C$13, 2, FALSE) +DataList_EnemyA!C200</f>
        <v>121.60625</v>
      </c>
      <c r="D201">
        <v>0</v>
      </c>
      <c r="G201" t="s">
        <v>56</v>
      </c>
      <c r="H201">
        <f>VLOOKUP(G201, Sheet1!$B$4:$C$13, 2, FALSE) + H200</f>
        <v>121.60625</v>
      </c>
      <c r="I201" t="s">
        <v>56</v>
      </c>
    </row>
    <row r="202" spans="2:9">
      <c r="B202">
        <v>3</v>
      </c>
      <c r="C202">
        <f>VLOOKUP(DataList_EnemyA!G202, Sheet1!$B$4:$C$13, 2, FALSE) +DataList_EnemyA!C201</f>
        <v>121.98125</v>
      </c>
      <c r="D202">
        <v>5</v>
      </c>
      <c r="G202" t="s">
        <v>56</v>
      </c>
      <c r="H202">
        <f>VLOOKUP(G202, Sheet1!$B$4:$C$13, 2, FALSE) + H201</f>
        <v>121.98125</v>
      </c>
      <c r="I202" t="s">
        <v>56</v>
      </c>
    </row>
    <row r="203" spans="2:9">
      <c r="B203">
        <v>3</v>
      </c>
      <c r="C203">
        <f>VLOOKUP(DataList_EnemyA!G203, Sheet1!$B$4:$C$13, 2, FALSE) +DataList_EnemyA!C202</f>
        <v>122.35625</v>
      </c>
      <c r="D203">
        <v>7</v>
      </c>
      <c r="G203" t="s">
        <v>56</v>
      </c>
      <c r="H203">
        <f>VLOOKUP(G203, Sheet1!$B$4:$C$13, 2, FALSE) + H202</f>
        <v>122.35625</v>
      </c>
      <c r="I203" t="s">
        <v>56</v>
      </c>
    </row>
    <row r="204" spans="2:9">
      <c r="B204">
        <v>3</v>
      </c>
      <c r="C204">
        <f>VLOOKUP(DataList_EnemyA!G204, Sheet1!$B$4:$C$13, 2, FALSE) +DataList_EnemyA!C203</f>
        <v>122.54375</v>
      </c>
      <c r="D204">
        <v>7</v>
      </c>
      <c r="G204" t="s">
        <v>58</v>
      </c>
      <c r="H204">
        <f>VLOOKUP(G204, Sheet1!$B$4:$C$13, 2, FALSE) + H203</f>
        <v>122.54375</v>
      </c>
      <c r="I204" t="s">
        <v>58</v>
      </c>
    </row>
    <row r="205" spans="2:9">
      <c r="B205">
        <v>3</v>
      </c>
      <c r="C205">
        <f>VLOOKUP(DataList_EnemyA!G205, Sheet1!$B$4:$C$13, 2, FALSE) +DataList_EnemyA!C204</f>
        <v>122.73125</v>
      </c>
      <c r="D205">
        <v>5</v>
      </c>
      <c r="G205" t="s">
        <v>58</v>
      </c>
      <c r="H205">
        <f>VLOOKUP(G205, Sheet1!$B$4:$C$13, 2, FALSE) + H204</f>
        <v>122.73125</v>
      </c>
      <c r="I205" t="s">
        <v>58</v>
      </c>
    </row>
    <row r="206" spans="2:9">
      <c r="B206">
        <v>3</v>
      </c>
      <c r="C206">
        <f>VLOOKUP(DataList_EnemyA!G206, Sheet1!$B$4:$C$13, 2, FALSE) +DataList_EnemyA!C205</f>
        <v>123.10625</v>
      </c>
      <c r="D206">
        <v>2</v>
      </c>
      <c r="G206" t="s">
        <v>56</v>
      </c>
      <c r="H206">
        <f>VLOOKUP(G206, Sheet1!$B$4:$C$13, 2, FALSE) + H205</f>
        <v>123.10625</v>
      </c>
      <c r="I206" t="s">
        <v>56</v>
      </c>
    </row>
    <row r="207" spans="2:9">
      <c r="B207">
        <v>3</v>
      </c>
      <c r="C207">
        <f>VLOOKUP(DataList_EnemyA!G207, Sheet1!$B$4:$C$13, 2, FALSE) +DataList_EnemyA!C206</f>
        <v>123.48125</v>
      </c>
      <c r="D207">
        <v>0</v>
      </c>
      <c r="G207" t="s">
        <v>56</v>
      </c>
      <c r="H207">
        <f>VLOOKUP(G207, Sheet1!$B$4:$C$13, 2, FALSE) + H206</f>
        <v>123.48125</v>
      </c>
      <c r="I207" t="s">
        <v>56</v>
      </c>
    </row>
    <row r="208" spans="2:9">
      <c r="B208">
        <v>3</v>
      </c>
      <c r="C208">
        <f>VLOOKUP(DataList_EnemyA!G208, Sheet1!$B$4:$C$13, 2, FALSE) +DataList_EnemyA!C207</f>
        <v>124.04375</v>
      </c>
      <c r="D208">
        <v>2</v>
      </c>
      <c r="F208" t="s">
        <v>74</v>
      </c>
      <c r="G208" t="s">
        <v>50</v>
      </c>
      <c r="H208">
        <f>VLOOKUP(G208, Sheet1!$B$4:$C$13, 2, FALSE) + H207</f>
        <v>124.04375</v>
      </c>
      <c r="I208" t="s">
        <v>50</v>
      </c>
    </row>
    <row r="209" spans="2:9">
      <c r="B209">
        <v>2</v>
      </c>
      <c r="C209">
        <f>VLOOKUP(DataList_EnemyA!G209, Sheet1!$B$4:$C$13, 2, FALSE) +DataList_EnemyA!C208</f>
        <v>124.60625</v>
      </c>
      <c r="D209">
        <v>9</v>
      </c>
      <c r="G209" t="s">
        <v>50</v>
      </c>
      <c r="H209">
        <f>VLOOKUP(G209, Sheet1!$B$4:$C$13, 2, FALSE) + H208</f>
        <v>124.60625</v>
      </c>
      <c r="I209" t="s">
        <v>50</v>
      </c>
    </row>
    <row r="210" spans="2:9">
      <c r="B210">
        <v>1</v>
      </c>
      <c r="C210">
        <f>VLOOKUP(DataList_EnemyA!G210, Sheet1!$B$4:$C$13, 2, FALSE) +DataList_EnemyA!C209</f>
        <v>124.98125</v>
      </c>
      <c r="D210">
        <v>10</v>
      </c>
      <c r="G210" t="s">
        <v>56</v>
      </c>
      <c r="H210">
        <f>VLOOKUP(G210, Sheet1!$B$4:$C$13, 2, FALSE) + H209</f>
        <v>124.98125</v>
      </c>
      <c r="I210" t="s">
        <v>19</v>
      </c>
    </row>
    <row r="211" spans="2:9">
      <c r="B211">
        <v>3</v>
      </c>
      <c r="C211">
        <f>VLOOKUP(DataList_EnemyA!G211, Sheet1!$B$4:$C$13, 2, FALSE) +DataList_EnemyA!C210</f>
        <v>125.35625</v>
      </c>
      <c r="D211">
        <v>0</v>
      </c>
      <c r="G211" t="s">
        <v>56</v>
      </c>
      <c r="H211">
        <f>VLOOKUP(G211, Sheet1!$B$4:$C$13, 2, FALSE) + H210</f>
        <v>125.35625</v>
      </c>
      <c r="I211" t="s">
        <v>19</v>
      </c>
    </row>
    <row r="212" spans="2:9">
      <c r="B212">
        <v>2</v>
      </c>
      <c r="C212">
        <f>VLOOKUP(DataList_EnemyA!G212, Sheet1!$B$4:$C$13, 2, FALSE) +DataList_EnemyA!C211</f>
        <v>126.48125</v>
      </c>
      <c r="D212">
        <v>10</v>
      </c>
      <c r="G212" t="s">
        <v>51</v>
      </c>
      <c r="H212">
        <f>VLOOKUP(G212, Sheet1!$B$4:$C$13, 2, FALSE) + H211</f>
        <v>126.48125</v>
      </c>
      <c r="I212" t="s">
        <v>51</v>
      </c>
    </row>
    <row r="213" spans="2:9">
      <c r="B213">
        <v>3</v>
      </c>
      <c r="C213">
        <f>VLOOKUP(DataList_EnemyA!G213, Sheet1!$B$4:$C$13, 2, FALSE) +DataList_EnemyA!C212</f>
        <v>127.23125</v>
      </c>
      <c r="D213">
        <v>0</v>
      </c>
      <c r="F213" t="s">
        <v>75</v>
      </c>
      <c r="G213" t="s">
        <v>62</v>
      </c>
      <c r="H213">
        <f>VLOOKUP(G213, Sheet1!$B$4:$C$13, 2, FALSE) + H212</f>
        <v>127.23125</v>
      </c>
      <c r="I213" t="s">
        <v>18</v>
      </c>
    </row>
    <row r="214" spans="2:9">
      <c r="B214">
        <v>3</v>
      </c>
      <c r="C214">
        <f>VLOOKUP(DataList_EnemyA!G214, Sheet1!$B$4:$C$13, 2, FALSE) +DataList_EnemyA!C213</f>
        <v>127.60625</v>
      </c>
      <c r="D214">
        <v>5</v>
      </c>
      <c r="G214" t="s">
        <v>56</v>
      </c>
      <c r="H214">
        <f>VLOOKUP(G214, Sheet1!$B$4:$C$13, 2, FALSE) + H213</f>
        <v>127.60625</v>
      </c>
      <c r="I214" t="s">
        <v>19</v>
      </c>
    </row>
    <row r="215" spans="2:9">
      <c r="B215">
        <v>3</v>
      </c>
      <c r="C215">
        <f>VLOOKUP(DataList_EnemyA!G215, Sheet1!$B$4:$C$13, 2, FALSE) +DataList_EnemyA!C214</f>
        <v>127.98125</v>
      </c>
      <c r="D215">
        <v>3</v>
      </c>
      <c r="G215" t="s">
        <v>56</v>
      </c>
      <c r="H215">
        <f>VLOOKUP(G215, Sheet1!$B$4:$C$13, 2, FALSE) + H214</f>
        <v>127.98125</v>
      </c>
      <c r="I215" t="s">
        <v>19</v>
      </c>
    </row>
    <row r="216" spans="2:9">
      <c r="B216">
        <v>3</v>
      </c>
      <c r="C216">
        <f>VLOOKUP(DataList_EnemyA!G216, Sheet1!$B$4:$C$13, 2, FALSE) +DataList_EnemyA!C215</f>
        <v>128.35624999999999</v>
      </c>
      <c r="D216">
        <v>2</v>
      </c>
      <c r="G216" t="s">
        <v>56</v>
      </c>
      <c r="H216">
        <f>VLOOKUP(G216, Sheet1!$B$4:$C$13, 2, FALSE) + H215</f>
        <v>128.35624999999999</v>
      </c>
      <c r="I216" t="s">
        <v>56</v>
      </c>
    </row>
    <row r="217" spans="2:9">
      <c r="B217">
        <v>1</v>
      </c>
      <c r="C217">
        <f>VLOOKUP(DataList_EnemyA!G217, Sheet1!$B$4:$C$13, 2, FALSE) +DataList_EnemyA!C216</f>
        <v>128.73124999999999</v>
      </c>
      <c r="D217">
        <v>10</v>
      </c>
      <c r="G217" t="s">
        <v>56</v>
      </c>
      <c r="H217">
        <f>VLOOKUP(G217, Sheet1!$B$4:$C$13, 2, FALSE) + H216</f>
        <v>128.73124999999999</v>
      </c>
      <c r="I217" t="s">
        <v>56</v>
      </c>
    </row>
    <row r="218" spans="2:9">
      <c r="B218">
        <v>3</v>
      </c>
      <c r="C218">
        <f>VLOOKUP(DataList_EnemyA!G218, Sheet1!$B$4:$C$13, 2, FALSE) +DataList_EnemyA!C217</f>
        <v>129.85624999999999</v>
      </c>
      <c r="D218">
        <v>2</v>
      </c>
      <c r="F218" t="s">
        <v>76</v>
      </c>
      <c r="G218" t="s">
        <v>51</v>
      </c>
      <c r="H218">
        <f>VLOOKUP(G218, Sheet1!$B$4:$C$13, 2, FALSE) + H217</f>
        <v>129.85624999999999</v>
      </c>
      <c r="I218" t="s">
        <v>51</v>
      </c>
    </row>
    <row r="219" spans="2:9">
      <c r="B219">
        <v>3</v>
      </c>
      <c r="C219">
        <f>VLOOKUP(DataList_EnemyA!G219, Sheet1!$B$4:$C$13, 2, FALSE) +DataList_EnemyA!C218</f>
        <v>130.98124999999999</v>
      </c>
      <c r="D219">
        <v>5</v>
      </c>
      <c r="G219" t="s">
        <v>51</v>
      </c>
      <c r="H219">
        <f>VLOOKUP(G219, Sheet1!$B$4:$C$13, 2, FALSE) + H218</f>
        <v>130.98124999999999</v>
      </c>
      <c r="I219" t="s">
        <v>18</v>
      </c>
    </row>
    <row r="220" spans="2:9">
      <c r="B220">
        <v>3</v>
      </c>
      <c r="C220">
        <f>VLOOKUP(DataList_EnemyA!G220, Sheet1!$B$4:$C$13, 2, FALSE) +DataList_EnemyA!C219</f>
        <v>131.73124999999999</v>
      </c>
      <c r="D220">
        <v>6</v>
      </c>
      <c r="G220" t="s">
        <v>62</v>
      </c>
      <c r="H220">
        <f>VLOOKUP(G220, Sheet1!$B$4:$C$13, 2, FALSE) + H219</f>
        <v>131.73124999999999</v>
      </c>
      <c r="I220" t="s">
        <v>51</v>
      </c>
    </row>
    <row r="221" spans="2:9">
      <c r="B221">
        <v>3</v>
      </c>
      <c r="C221">
        <f>VLOOKUP(DataList_EnemyA!G221, Sheet1!$B$4:$C$13, 2, FALSE) +DataList_EnemyA!C220</f>
        <v>131.91874999999999</v>
      </c>
      <c r="D221">
        <v>5</v>
      </c>
      <c r="G221" t="s">
        <v>58</v>
      </c>
      <c r="H221">
        <f>VLOOKUP(G221, Sheet1!$B$4:$C$13, 2, FALSE) + H220</f>
        <v>131.91874999999999</v>
      </c>
      <c r="I221" t="s">
        <v>58</v>
      </c>
    </row>
    <row r="222" spans="2:9">
      <c r="B222">
        <v>3</v>
      </c>
      <c r="C222">
        <f>VLOOKUP(DataList_EnemyA!G222, Sheet1!$B$4:$C$13, 2, FALSE) +DataList_EnemyA!C221</f>
        <v>132.10624999999999</v>
      </c>
      <c r="D222">
        <v>3</v>
      </c>
      <c r="G222" t="s">
        <v>58</v>
      </c>
      <c r="H222">
        <f>VLOOKUP(G222, Sheet1!$B$4:$C$13, 2, FALSE) + H221</f>
        <v>132.10624999999999</v>
      </c>
      <c r="I222" t="s">
        <v>58</v>
      </c>
    </row>
    <row r="223" spans="2:9">
      <c r="B223">
        <v>3</v>
      </c>
      <c r="C223">
        <f>VLOOKUP(DataList_EnemyA!G223, Sheet1!$B$4:$C$13, 2, FALSE) +DataList_EnemyA!C222</f>
        <v>132.29374999999999</v>
      </c>
      <c r="D223">
        <v>1</v>
      </c>
      <c r="G223" t="s">
        <v>58</v>
      </c>
      <c r="H223">
        <f>VLOOKUP(G223, Sheet1!$B$4:$C$13, 2, FALSE) + H222</f>
        <v>132.29374999999999</v>
      </c>
      <c r="I223" t="s">
        <v>58</v>
      </c>
    </row>
    <row r="224" spans="2:9">
      <c r="B224">
        <v>2</v>
      </c>
      <c r="C224">
        <f>VLOOKUP(DataList_EnemyA!G224, Sheet1!$B$4:$C$13, 2, FALSE) +DataList_EnemyA!C223</f>
        <v>132.48124999999999</v>
      </c>
      <c r="D224">
        <v>9</v>
      </c>
      <c r="G224" t="s">
        <v>58</v>
      </c>
      <c r="H224">
        <f>VLOOKUP(G224, Sheet1!$B$4:$C$13, 2, FALSE) + H223</f>
        <v>132.48124999999999</v>
      </c>
      <c r="I224" t="s">
        <v>58</v>
      </c>
    </row>
    <row r="225" spans="2:9">
      <c r="B225">
        <v>1</v>
      </c>
      <c r="C225">
        <f>VLOOKUP(DataList_EnemyA!G225, Sheet1!$B$4:$C$13, 2, FALSE) +DataList_EnemyA!C224</f>
        <v>132.66874999999999</v>
      </c>
      <c r="D225">
        <v>8</v>
      </c>
      <c r="G225" t="s">
        <v>58</v>
      </c>
      <c r="H225">
        <f>VLOOKUP(G225, Sheet1!$B$4:$C$13, 2, FALSE) + H224</f>
        <v>132.66874999999999</v>
      </c>
      <c r="I225" t="s">
        <v>58</v>
      </c>
    </row>
    <row r="226" spans="2:9">
      <c r="B226">
        <v>2</v>
      </c>
      <c r="C226">
        <f>VLOOKUP(DataList_EnemyA!G226, Sheet1!$B$4:$C$13, 2, FALSE) +DataList_EnemyA!C225</f>
        <v>132.85624999999999</v>
      </c>
      <c r="D226">
        <v>6</v>
      </c>
      <c r="G226" t="s">
        <v>58</v>
      </c>
      <c r="H226">
        <f>VLOOKUP(G226, Sheet1!$B$4:$C$13, 2, FALSE) + H225</f>
        <v>132.85624999999999</v>
      </c>
      <c r="I226" t="s">
        <v>58</v>
      </c>
    </row>
    <row r="227" spans="2:9">
      <c r="B227">
        <v>0</v>
      </c>
      <c r="C227">
        <f>VLOOKUP(DataList_EnemyA!G227, Sheet1!$B$4:$C$13, 2, FALSE) +DataList_EnemyA!C226</f>
        <v>133.04374999999999</v>
      </c>
      <c r="D227">
        <v>5</v>
      </c>
      <c r="G227" t="s">
        <v>58</v>
      </c>
      <c r="H227">
        <f>VLOOKUP(G227, Sheet1!$B$4:$C$13, 2, FALSE) + H226</f>
        <v>133.04374999999999</v>
      </c>
      <c r="I227" t="s">
        <v>20</v>
      </c>
    </row>
    <row r="228" spans="2:9">
      <c r="B228">
        <v>2</v>
      </c>
      <c r="C228">
        <f>VLOOKUP(DataList_EnemyA!G228, Sheet1!$B$4:$C$13, 2, FALSE) +DataList_EnemyA!C227</f>
        <v>133.79374999999999</v>
      </c>
      <c r="D228">
        <v>2</v>
      </c>
      <c r="G228" t="s">
        <v>62</v>
      </c>
      <c r="H228">
        <f>VLOOKUP(G228, Sheet1!$B$4:$C$13, 2, FALSE) + H227</f>
        <v>133.79374999999999</v>
      </c>
      <c r="I228" t="s">
        <v>18</v>
      </c>
    </row>
    <row r="229" spans="2:9">
      <c r="B229">
        <v>1</v>
      </c>
      <c r="C229">
        <f>VLOOKUP(DataList_EnemyA!G229, Sheet1!$B$4:$C$13, 2, FALSE) +DataList_EnemyA!C228</f>
        <v>134.16874999999999</v>
      </c>
      <c r="D229">
        <v>5</v>
      </c>
      <c r="G229" t="s">
        <v>56</v>
      </c>
      <c r="H229">
        <f>VLOOKUP(G229, Sheet1!$B$4:$C$13, 2, FALSE) + H228</f>
        <v>134.16874999999999</v>
      </c>
      <c r="I229" t="s">
        <v>23</v>
      </c>
    </row>
    <row r="230" spans="2:9">
      <c r="B230">
        <v>2</v>
      </c>
      <c r="C230">
        <f>VLOOKUP(DataList_EnemyA!G230, Sheet1!$B$4:$C$13, 2, FALSE) +DataList_EnemyA!C229</f>
        <v>135.29374999999999</v>
      </c>
      <c r="D230">
        <v>7</v>
      </c>
      <c r="F230" t="s">
        <v>77</v>
      </c>
      <c r="G230" t="s">
        <v>51</v>
      </c>
      <c r="H230">
        <f>VLOOKUP(G230, Sheet1!$B$4:$C$13, 2, FALSE) + H229</f>
        <v>135.29374999999999</v>
      </c>
    </row>
    <row r="231" spans="2:9">
      <c r="B231">
        <v>1</v>
      </c>
      <c r="C231">
        <f>VLOOKUP(DataList_EnemyA!G231, Sheet1!$B$4:$C$13, 2, FALSE) +DataList_EnemyA!C230</f>
        <v>135.66874999999999</v>
      </c>
      <c r="D231">
        <v>10</v>
      </c>
      <c r="G231" t="s">
        <v>56</v>
      </c>
      <c r="H231">
        <f>VLOOKUP(G231, Sheet1!$B$4:$C$13, 2, FALSE) + H230</f>
        <v>135.66874999999999</v>
      </c>
    </row>
    <row r="232" spans="2:9">
      <c r="B232">
        <v>3</v>
      </c>
      <c r="C232">
        <f>VLOOKUP(DataList_EnemyA!G232, Sheet1!$B$4:$C$13, 2, FALSE) +DataList_EnemyA!C231</f>
        <v>136.04374999999999</v>
      </c>
      <c r="D232">
        <v>0</v>
      </c>
      <c r="G232" t="s">
        <v>56</v>
      </c>
      <c r="H232">
        <f>VLOOKUP(G232, Sheet1!$B$4:$C$13, 2, FALSE) + H231</f>
        <v>136.04374999999999</v>
      </c>
    </row>
    <row r="233" spans="2:9">
      <c r="B233">
        <v>3</v>
      </c>
      <c r="C233">
        <f>VLOOKUP(DataList_EnemyA!G233, Sheet1!$B$4:$C$13, 2, FALSE) +DataList_EnemyA!C232</f>
        <v>136.60624999999999</v>
      </c>
      <c r="D233">
        <v>0</v>
      </c>
      <c r="G233" t="s">
        <v>50</v>
      </c>
      <c r="H233">
        <f>VLOOKUP(G233, Sheet1!$B$4:$C$13, 2, FALSE) + H232</f>
        <v>136.60624999999999</v>
      </c>
    </row>
    <row r="234" spans="2:9">
      <c r="B234">
        <v>3</v>
      </c>
      <c r="C234">
        <f>VLOOKUP(DataList_EnemyA!G234, Sheet1!$B$4:$C$13, 2, FALSE) +DataList_EnemyA!C233</f>
        <v>137.16874999999999</v>
      </c>
      <c r="D234">
        <v>2</v>
      </c>
      <c r="G234" t="s">
        <v>50</v>
      </c>
      <c r="H234">
        <f>VLOOKUP(G234, Sheet1!$B$4:$C$13, 2, FALSE) + H233</f>
        <v>137.16874999999999</v>
      </c>
    </row>
    <row r="235" spans="2:9">
      <c r="B235">
        <v>2</v>
      </c>
      <c r="C235">
        <f>VLOOKUP(DataList_EnemyA!G235, Sheet1!$B$4:$C$13, 2, FALSE) +DataList_EnemyA!C234</f>
        <v>137.54374999999999</v>
      </c>
      <c r="D235">
        <v>7</v>
      </c>
      <c r="G235" t="s">
        <v>56</v>
      </c>
      <c r="H235">
        <f>VLOOKUP(G235, Sheet1!$B$4:$C$13, 2, FALSE) + H234</f>
        <v>137.54374999999999</v>
      </c>
    </row>
    <row r="236" spans="2:9">
      <c r="B236">
        <v>2</v>
      </c>
      <c r="C236">
        <f>VLOOKUP(DataList_EnemyA!G236, Sheet1!$B$4:$C$13, 2, FALSE) +DataList_EnemyA!C235</f>
        <v>137.82499999999999</v>
      </c>
      <c r="D236">
        <v>10</v>
      </c>
      <c r="G236" t="s">
        <v>57</v>
      </c>
      <c r="H236">
        <f>VLOOKUP(G236, Sheet1!$B$4:$C$13, 2, FALSE) + H235</f>
        <v>137.82499999999999</v>
      </c>
    </row>
    <row r="237" spans="2:9">
      <c r="B237">
        <v>1</v>
      </c>
      <c r="C237">
        <f>VLOOKUP(DataList_EnemyA!G237, Sheet1!$B$4:$C$13, 2, FALSE) +DataList_EnemyA!C236</f>
        <v>138.38749999999999</v>
      </c>
      <c r="D237">
        <v>7</v>
      </c>
      <c r="G237" t="s">
        <v>50</v>
      </c>
      <c r="H237">
        <f>VLOOKUP(G237, Sheet1!$B$4:$C$13, 2, FALSE) + H236</f>
        <v>138.38749999999999</v>
      </c>
    </row>
    <row r="238" spans="2:9">
      <c r="B238">
        <v>1</v>
      </c>
      <c r="C238">
        <f>VLOOKUP(DataList_EnemyA!G238, Sheet1!$B$4:$C$13, 2, FALSE) +DataList_EnemyA!C237</f>
        <v>138.57499999999999</v>
      </c>
      <c r="D238">
        <v>10</v>
      </c>
      <c r="G238" t="s">
        <v>58</v>
      </c>
      <c r="H238">
        <f>VLOOKUP(G238, Sheet1!$B$4:$C$13, 2, FALSE) + H237</f>
        <v>138.57499999999999</v>
      </c>
    </row>
    <row r="239" spans="2:9">
      <c r="B239">
        <v>3</v>
      </c>
      <c r="C239">
        <f>VLOOKUP(DataList_EnemyA!G239, Sheet1!$B$4:$C$13, 2, FALSE) +DataList_EnemyA!C238</f>
        <v>138.94999999999999</v>
      </c>
      <c r="D239">
        <v>0</v>
      </c>
      <c r="F239" t="s">
        <v>78</v>
      </c>
      <c r="G239" t="s">
        <v>56</v>
      </c>
      <c r="H239">
        <f>VLOOKUP(G239, Sheet1!$B$4:$C$13, 2, FALSE) + H238</f>
        <v>138.94999999999999</v>
      </c>
    </row>
    <row r="240" spans="2:9">
      <c r="B240">
        <v>3</v>
      </c>
      <c r="C240">
        <f>VLOOKUP(DataList_EnemyA!G240, Sheet1!$B$4:$C$13, 2, FALSE) +DataList_EnemyA!C239</f>
        <v>139.32499999999999</v>
      </c>
      <c r="D240">
        <v>5</v>
      </c>
      <c r="G240" t="s">
        <v>56</v>
      </c>
      <c r="H240">
        <f>VLOOKUP(G240, Sheet1!$B$4:$C$13, 2, FALSE) + H239</f>
        <v>139.32499999999999</v>
      </c>
    </row>
    <row r="241" spans="2:8">
      <c r="B241">
        <v>3</v>
      </c>
      <c r="C241">
        <f>VLOOKUP(DataList_EnemyA!G241, Sheet1!$B$4:$C$13, 2, FALSE) +DataList_EnemyA!C240</f>
        <v>139.69999999999999</v>
      </c>
      <c r="D241">
        <v>2</v>
      </c>
      <c r="G241" t="s">
        <v>56</v>
      </c>
      <c r="H241">
        <f>VLOOKUP(G241, Sheet1!$B$4:$C$13, 2, FALSE) + H240</f>
        <v>139.69999999999999</v>
      </c>
    </row>
    <row r="242" spans="2:8">
      <c r="B242">
        <v>3</v>
      </c>
      <c r="C242">
        <f>VLOOKUP(DataList_EnemyA!G242, Sheet1!$B$4:$C$13, 2, FALSE) +DataList_EnemyA!C241</f>
        <v>140.07499999999999</v>
      </c>
      <c r="D242">
        <v>0</v>
      </c>
      <c r="G242" t="s">
        <v>56</v>
      </c>
      <c r="H242">
        <f>VLOOKUP(G242, Sheet1!$B$4:$C$13, 2, FALSE) + H241</f>
        <v>140.07499999999999</v>
      </c>
    </row>
    <row r="243" spans="2:8">
      <c r="B243">
        <v>2</v>
      </c>
      <c r="C243">
        <f>VLOOKUP(DataList_EnemyA!G243, Sheet1!$B$4:$C$13, 2, FALSE) +DataList_EnemyA!C242</f>
        <v>140.44999999999999</v>
      </c>
      <c r="D243">
        <v>10</v>
      </c>
      <c r="G243" t="s">
        <v>56</v>
      </c>
      <c r="H243">
        <f>VLOOKUP(G243, Sheet1!$B$4:$C$13, 2, FALSE) + H242</f>
        <v>140.44999999999999</v>
      </c>
    </row>
    <row r="244" spans="2:8">
      <c r="B244">
        <v>1</v>
      </c>
      <c r="C244">
        <f>VLOOKUP(DataList_EnemyA!G244, Sheet1!$B$4:$C$13, 2, FALSE) +DataList_EnemyA!C243</f>
        <v>141.01249999999999</v>
      </c>
      <c r="D244">
        <v>8</v>
      </c>
      <c r="G244" t="s">
        <v>50</v>
      </c>
      <c r="H244">
        <f>VLOOKUP(G244, Sheet1!$B$4:$C$13, 2, FALSE) + H243</f>
        <v>141.01249999999999</v>
      </c>
    </row>
    <row r="245" spans="2:8">
      <c r="B245">
        <v>2</v>
      </c>
      <c r="C245">
        <f>VLOOKUP(DataList_EnemyA!G245, Sheet1!$B$4:$C$13, 2, FALSE) +DataList_EnemyA!C244</f>
        <v>141.38749999999999</v>
      </c>
      <c r="D245">
        <v>5</v>
      </c>
      <c r="G245" t="s">
        <v>56</v>
      </c>
      <c r="H245">
        <f>VLOOKUP(G245, Sheet1!$B$4:$C$13, 2, FALSE) + H244</f>
        <v>141.38749999999999</v>
      </c>
    </row>
    <row r="246" spans="2:8">
      <c r="B246">
        <v>1</v>
      </c>
      <c r="C246">
        <f>VLOOKUP(DataList_EnemyA!G246, Sheet1!$B$4:$C$13, 2, FALSE) +DataList_EnemyA!C245</f>
        <v>141.76249999999999</v>
      </c>
      <c r="D246">
        <v>10</v>
      </c>
      <c r="G246" t="s">
        <v>56</v>
      </c>
      <c r="H246">
        <f>VLOOKUP(G246, Sheet1!$B$4:$C$13, 2, FALSE) + H245</f>
        <v>141.76249999999999</v>
      </c>
    </row>
    <row r="247" spans="2:8">
      <c r="B247">
        <v>3</v>
      </c>
      <c r="C247">
        <f>VLOOKUP(DataList_EnemyA!G247, Sheet1!$B$4:$C$13, 2, FALSE) +DataList_EnemyA!C246</f>
        <v>142.32499999999999</v>
      </c>
      <c r="D247">
        <v>10</v>
      </c>
      <c r="G247" t="s">
        <v>50</v>
      </c>
      <c r="H247">
        <f>VLOOKUP(G247, Sheet1!$B$4:$C$13, 2, FALSE) + H246</f>
        <v>142.32499999999999</v>
      </c>
    </row>
    <row r="248" spans="2:8">
      <c r="B248">
        <v>3</v>
      </c>
      <c r="C248">
        <f>VLOOKUP(DataList_EnemyA!G248, Sheet1!$B$4:$C$13, 2, FALSE) +DataList_EnemyA!C247</f>
        <v>143.44999999999999</v>
      </c>
      <c r="D248">
        <v>0</v>
      </c>
      <c r="F248" t="s">
        <v>79</v>
      </c>
      <c r="G248" t="s">
        <v>51</v>
      </c>
      <c r="H248">
        <f>VLOOKUP(G248, Sheet1!$B$4:$C$13, 2, FALSE) + H247</f>
        <v>143.44999999999999</v>
      </c>
    </row>
    <row r="249" spans="2:8">
      <c r="B249">
        <v>3</v>
      </c>
      <c r="C249">
        <f>VLOOKUP(DataList_EnemyA!G249, Sheet1!$B$4:$C$13, 2, FALSE) +DataList_EnemyA!C248</f>
        <v>143.82499999999999</v>
      </c>
      <c r="D249">
        <v>2</v>
      </c>
      <c r="G249" t="s">
        <v>56</v>
      </c>
      <c r="H249">
        <f>VLOOKUP(G249, Sheet1!$B$4:$C$13, 2, FALSE) + H248</f>
        <v>143.82499999999999</v>
      </c>
    </row>
    <row r="250" spans="2:8">
      <c r="B250">
        <v>3</v>
      </c>
      <c r="C250">
        <f>VLOOKUP(DataList_EnemyA!G250, Sheet1!$B$4:$C$13, 2, FALSE) +DataList_EnemyA!C249</f>
        <v>144.38749999999999</v>
      </c>
      <c r="D250">
        <v>5</v>
      </c>
      <c r="G250" t="s">
        <v>50</v>
      </c>
      <c r="H250">
        <f>VLOOKUP(G250, Sheet1!$B$4:$C$13, 2, FALSE) + H249</f>
        <v>144.38749999999999</v>
      </c>
    </row>
    <row r="251" spans="2:8">
      <c r="B251">
        <v>2</v>
      </c>
      <c r="C251">
        <f>VLOOKUP(DataList_EnemyA!G251, Sheet1!$B$4:$C$13, 2, FALSE) +DataList_EnemyA!C250</f>
        <v>145.13749999999999</v>
      </c>
      <c r="D251">
        <v>10</v>
      </c>
      <c r="G251" t="s">
        <v>62</v>
      </c>
      <c r="H251">
        <f>VLOOKUP(G251, Sheet1!$B$4:$C$13, 2, FALSE) + H250</f>
        <v>145.13749999999999</v>
      </c>
    </row>
    <row r="252" spans="2:8">
      <c r="B252">
        <v>1</v>
      </c>
      <c r="C252">
        <f>VLOOKUP(DataList_EnemyA!G252, Sheet1!$B$4:$C$13, 2, FALSE) +DataList_EnemyA!C251</f>
        <v>145.88749999999999</v>
      </c>
      <c r="D252">
        <v>9</v>
      </c>
      <c r="G252" t="s">
        <v>62</v>
      </c>
      <c r="H252">
        <f>VLOOKUP(G252, Sheet1!$B$4:$C$13, 2, FALSE) + H251</f>
        <v>145.88749999999999</v>
      </c>
    </row>
    <row r="253" spans="2:8">
      <c r="B253">
        <v>2</v>
      </c>
      <c r="C253">
        <f>VLOOKUP(DataList_EnemyA!G253, Sheet1!$B$4:$C$13, 2, FALSE) +DataList_EnemyA!C252</f>
        <v>147.01249999999999</v>
      </c>
      <c r="D253">
        <v>10</v>
      </c>
      <c r="G253" t="s">
        <v>51</v>
      </c>
      <c r="H253">
        <f>VLOOKUP(G253, Sheet1!$B$4:$C$13, 2, FALSE) + H252</f>
        <v>147.01249999999999</v>
      </c>
    </row>
    <row r="254" spans="2:8">
      <c r="B254">
        <v>2</v>
      </c>
      <c r="C254">
        <f>VLOOKUP(DataList_EnemyA!G254, Sheet1!$B$4:$C$13, 2, FALSE) +DataList_EnemyA!C253</f>
        <v>147.38749999999999</v>
      </c>
      <c r="D254">
        <v>10</v>
      </c>
      <c r="G254" t="s">
        <v>56</v>
      </c>
      <c r="H254">
        <f>VLOOKUP(G254, Sheet1!$B$4:$C$13, 2, FALSE) + H253</f>
        <v>147.38749999999999</v>
      </c>
    </row>
    <row r="255" spans="2:8">
      <c r="B255">
        <v>1</v>
      </c>
      <c r="C255">
        <f>VLOOKUP(DataList_EnemyA!G255, Sheet1!$B$4:$C$13, 2, FALSE) +DataList_EnemyA!C254</f>
        <v>147.94999999999999</v>
      </c>
      <c r="D255">
        <v>5</v>
      </c>
      <c r="F255" t="s">
        <v>80</v>
      </c>
      <c r="G255" t="s">
        <v>50</v>
      </c>
      <c r="H255">
        <f>VLOOKUP(G255, Sheet1!$B$4:$C$13, 2, FALSE) + H254</f>
        <v>147.94999999999999</v>
      </c>
    </row>
    <row r="256" spans="2:8">
      <c r="B256">
        <v>1</v>
      </c>
      <c r="C256">
        <f>VLOOKUP(DataList_EnemyA!G256, Sheet1!$B$4:$C$13, 2, FALSE) +DataList_EnemyA!C255</f>
        <v>148.51249999999999</v>
      </c>
      <c r="D256">
        <v>10</v>
      </c>
      <c r="G256" t="s">
        <v>50</v>
      </c>
      <c r="H256">
        <f>VLOOKUP(G256, Sheet1!$B$4:$C$13, 2, FALSE) + H255</f>
        <v>148.51249999999999</v>
      </c>
    </row>
    <row r="257" spans="2:8">
      <c r="B257">
        <v>3</v>
      </c>
      <c r="C257">
        <f>VLOOKUP(DataList_EnemyA!G257, Sheet1!$B$4:$C$13, 2, FALSE) +DataList_EnemyA!C256</f>
        <v>149.07499999999999</v>
      </c>
      <c r="D257">
        <v>0</v>
      </c>
      <c r="G257" t="s">
        <v>50</v>
      </c>
      <c r="H257">
        <f>VLOOKUP(G257, Sheet1!$B$4:$C$13, 2, FALSE) + H256</f>
        <v>149.07499999999999</v>
      </c>
    </row>
    <row r="258" spans="2:8">
      <c r="B258">
        <v>3</v>
      </c>
      <c r="C258">
        <f>VLOOKUP(DataList_EnemyA!G258, Sheet1!$B$4:$C$13, 2, FALSE) +DataList_EnemyA!C257</f>
        <v>149.44999999999999</v>
      </c>
      <c r="D258">
        <v>2</v>
      </c>
      <c r="G258" t="s">
        <v>56</v>
      </c>
      <c r="H258">
        <f>VLOOKUP(G258, Sheet1!$B$4:$C$13, 2, FALSE) + H257</f>
        <v>149.44999999999999</v>
      </c>
    </row>
    <row r="259" spans="2:8">
      <c r="B259">
        <v>3</v>
      </c>
      <c r="C259">
        <f>VLOOKUP(DataList_EnemyA!G259, Sheet1!$B$4:$C$13, 2, FALSE) +DataList_EnemyA!C258</f>
        <v>149.82499999999999</v>
      </c>
      <c r="D259">
        <v>9</v>
      </c>
      <c r="G259" t="s">
        <v>56</v>
      </c>
      <c r="H259">
        <f>VLOOKUP(G259, Sheet1!$B$4:$C$13, 2, FALSE) + H258</f>
        <v>149.82499999999999</v>
      </c>
    </row>
    <row r="260" spans="2:8">
      <c r="B260">
        <v>3</v>
      </c>
      <c r="C260">
        <f>VLOOKUP(DataList_EnemyA!G260, Sheet1!$B$4:$C$13, 2, FALSE) +DataList_EnemyA!C259</f>
        <v>150.19999999999999</v>
      </c>
      <c r="D260">
        <v>2</v>
      </c>
      <c r="G260" t="s">
        <v>56</v>
      </c>
      <c r="H260">
        <f>VLOOKUP(G260, Sheet1!$B$4:$C$13, 2, FALSE) + H259</f>
        <v>150.19999999999999</v>
      </c>
    </row>
    <row r="261" spans="2:8">
      <c r="B261">
        <v>3</v>
      </c>
      <c r="C261">
        <f>VLOOKUP(DataList_EnemyA!G261, Sheet1!$B$4:$C$13, 2, FALSE) +DataList_EnemyA!C260</f>
        <v>150.57499999999999</v>
      </c>
      <c r="D261">
        <v>0</v>
      </c>
      <c r="G261" t="s">
        <v>19</v>
      </c>
      <c r="H261">
        <f>VLOOKUP(G261, Sheet1!$B$4:$C$13, 2, FALSE) + H260</f>
        <v>150.57499999999999</v>
      </c>
    </row>
    <row r="262" spans="2:8">
      <c r="B262">
        <v>1</v>
      </c>
      <c r="C262">
        <f>VLOOKUP(DataList_EnemyA!G262, Sheet1!$B$4:$C$13, 2, FALSE) +DataList_EnemyA!C261</f>
        <v>150.94999999999999</v>
      </c>
      <c r="D262">
        <v>5</v>
      </c>
      <c r="F262" t="s">
        <v>81</v>
      </c>
      <c r="G262" t="s">
        <v>19</v>
      </c>
      <c r="H262">
        <f>VLOOKUP(G262, Sheet1!$B$4:$C$13, 2, FALSE) + H261</f>
        <v>150.94999999999999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9AB6-A131-4A42-B313-9D2D14F00738}">
  <dimension ref="A2:C26"/>
  <sheetViews>
    <sheetView workbookViewId="0">
      <selection activeCell="C12" sqref="C12"/>
    </sheetView>
  </sheetViews>
  <sheetFormatPr defaultRowHeight="18.75"/>
  <cols>
    <col min="1" max="1" width="23.375" bestFit="1" customWidth="1"/>
    <col min="2" max="2" width="5.5" bestFit="1" customWidth="1"/>
  </cols>
  <sheetData>
    <row r="2" spans="1:3">
      <c r="A2" s="2" t="s">
        <v>2</v>
      </c>
      <c r="B2" s="2"/>
      <c r="C2">
        <v>80</v>
      </c>
    </row>
    <row r="4" spans="1:3">
      <c r="A4" s="2" t="s">
        <v>4</v>
      </c>
      <c r="B4" s="2" t="s">
        <v>16</v>
      </c>
      <c r="C4">
        <f>C7*4</f>
        <v>3</v>
      </c>
    </row>
    <row r="6" spans="1:3">
      <c r="A6" s="2" t="s">
        <v>5</v>
      </c>
      <c r="B6" s="2" t="s">
        <v>17</v>
      </c>
      <c r="C6">
        <f>C7*2</f>
        <v>1.5</v>
      </c>
    </row>
    <row r="7" spans="1:3">
      <c r="A7" s="2" t="s">
        <v>6</v>
      </c>
      <c r="B7" s="2" t="s">
        <v>18</v>
      </c>
      <c r="C7">
        <f>SUM(60/C2)</f>
        <v>0.75</v>
      </c>
    </row>
    <row r="8" spans="1:3">
      <c r="A8" s="2" t="s">
        <v>7</v>
      </c>
      <c r="B8" s="2" t="s">
        <v>19</v>
      </c>
      <c r="C8">
        <f>C7*0.5</f>
        <v>0.375</v>
      </c>
    </row>
    <row r="9" spans="1:3">
      <c r="A9" s="2" t="s">
        <v>8</v>
      </c>
      <c r="B9" s="2" t="s">
        <v>20</v>
      </c>
      <c r="C9">
        <f>C7*0.25</f>
        <v>0.1875</v>
      </c>
    </row>
    <row r="10" spans="1:3">
      <c r="A10" s="2" t="s">
        <v>9</v>
      </c>
      <c r="B10" s="2" t="s">
        <v>21</v>
      </c>
      <c r="C10">
        <f>SUM(C7*3)</f>
        <v>2.25</v>
      </c>
    </row>
    <row r="11" spans="1:3">
      <c r="A11" s="2" t="s">
        <v>11</v>
      </c>
      <c r="B11" s="2" t="s">
        <v>22</v>
      </c>
      <c r="C11">
        <f>C7*1.5</f>
        <v>1.125</v>
      </c>
    </row>
    <row r="12" spans="1:3">
      <c r="A12" s="2" t="s">
        <v>10</v>
      </c>
      <c r="B12" s="2" t="s">
        <v>23</v>
      </c>
      <c r="C12">
        <f>C7*0.75</f>
        <v>0.5625</v>
      </c>
    </row>
    <row r="13" spans="1:3">
      <c r="A13" s="2" t="s">
        <v>12</v>
      </c>
      <c r="B13" s="2" t="s">
        <v>24</v>
      </c>
      <c r="C13">
        <f>C7*0.375</f>
        <v>0.28125</v>
      </c>
    </row>
    <row r="15" spans="1:3">
      <c r="A15" t="s">
        <v>25</v>
      </c>
      <c r="C15">
        <v>0</v>
      </c>
    </row>
    <row r="16" spans="1:3">
      <c r="A16" t="s">
        <v>26</v>
      </c>
      <c r="C16">
        <v>1</v>
      </c>
    </row>
    <row r="17" spans="1:3">
      <c r="A17" t="s">
        <v>27</v>
      </c>
      <c r="C17">
        <v>2</v>
      </c>
    </row>
    <row r="18" spans="1:3">
      <c r="A18" t="s">
        <v>28</v>
      </c>
      <c r="C18">
        <v>3</v>
      </c>
    </row>
    <row r="19" spans="1:3">
      <c r="A19" t="s">
        <v>19</v>
      </c>
      <c r="C19">
        <v>4</v>
      </c>
    </row>
    <row r="20" spans="1:3">
      <c r="A20" t="s">
        <v>29</v>
      </c>
      <c r="C20">
        <v>5</v>
      </c>
    </row>
    <row r="21" spans="1:3">
      <c r="A21" t="s">
        <v>30</v>
      </c>
      <c r="C21">
        <v>6</v>
      </c>
    </row>
    <row r="22" spans="1:3">
      <c r="A22" t="s">
        <v>31</v>
      </c>
      <c r="C22">
        <v>7</v>
      </c>
    </row>
    <row r="23" spans="1:3">
      <c r="A23" t="s">
        <v>32</v>
      </c>
      <c r="C23">
        <v>8</v>
      </c>
    </row>
    <row r="24" spans="1:3">
      <c r="A24" t="s">
        <v>33</v>
      </c>
      <c r="C24">
        <v>9</v>
      </c>
    </row>
    <row r="25" spans="1:3">
      <c r="A25" t="s">
        <v>34</v>
      </c>
      <c r="C25">
        <v>10</v>
      </c>
    </row>
    <row r="26" spans="1:3">
      <c r="A26" t="s">
        <v>35</v>
      </c>
      <c r="C26">
        <v>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C5F2-ADA2-4CBD-9670-A9F18665BAE9}">
  <dimension ref="A1:C260"/>
  <sheetViews>
    <sheetView topLeftCell="A246" zoomScaleNormal="100" workbookViewId="0">
      <selection sqref="A1:C260"/>
    </sheetView>
  </sheetViews>
  <sheetFormatPr defaultRowHeight="18.75"/>
  <sheetData>
    <row r="1" spans="1:3">
      <c r="A1">
        <v>1</v>
      </c>
      <c r="B1">
        <v>3.7</v>
      </c>
      <c r="C1">
        <v>5</v>
      </c>
    </row>
    <row r="2" spans="1:3">
      <c r="A2">
        <v>1</v>
      </c>
      <c r="B2">
        <f>B1+H</f>
        <v>5.2</v>
      </c>
      <c r="C2">
        <v>6</v>
      </c>
    </row>
    <row r="3" spans="1:3">
      <c r="A3">
        <v>1</v>
      </c>
      <c r="B3">
        <f>B2+Q</f>
        <v>5.95</v>
      </c>
      <c r="C3">
        <v>9</v>
      </c>
    </row>
    <row r="4" spans="1:3">
      <c r="A4">
        <v>1</v>
      </c>
      <c r="B4">
        <f>B3+S</f>
        <v>6.1375000000000002</v>
      </c>
      <c r="C4">
        <v>10</v>
      </c>
    </row>
    <row r="5" spans="1:3">
      <c r="A5">
        <v>3</v>
      </c>
      <c r="B5">
        <f>B4+S</f>
        <v>6.3250000000000002</v>
      </c>
      <c r="C5">
        <v>0</v>
      </c>
    </row>
    <row r="6" spans="1:3">
      <c r="A6">
        <v>1</v>
      </c>
      <c r="B6">
        <f>B5+DQ</f>
        <v>7.45</v>
      </c>
      <c r="C6">
        <v>10</v>
      </c>
    </row>
    <row r="7" spans="1:3">
      <c r="A7">
        <v>3</v>
      </c>
      <c r="B7">
        <f>B6+E</f>
        <v>7.8250000000000002</v>
      </c>
      <c r="C7">
        <v>0</v>
      </c>
    </row>
    <row r="8" spans="1:3">
      <c r="A8">
        <v>2</v>
      </c>
      <c r="B8">
        <f>B7+H</f>
        <v>9.3249999999999993</v>
      </c>
      <c r="C8">
        <v>5</v>
      </c>
    </row>
    <row r="9" spans="1:3">
      <c r="A9">
        <v>2</v>
      </c>
      <c r="B9">
        <f>B8+Q</f>
        <v>10.074999999999999</v>
      </c>
      <c r="C9">
        <v>9</v>
      </c>
    </row>
    <row r="10" spans="1:3">
      <c r="A10">
        <v>2</v>
      </c>
      <c r="B10">
        <f>B9+E</f>
        <v>10.45</v>
      </c>
      <c r="C10">
        <v>10</v>
      </c>
    </row>
    <row r="11" spans="1:3">
      <c r="A11">
        <v>3</v>
      </c>
      <c r="B11">
        <f>B10+E</f>
        <v>10.824999999999999</v>
      </c>
      <c r="C11">
        <v>0</v>
      </c>
    </row>
    <row r="12" spans="1:3">
      <c r="A12">
        <v>3</v>
      </c>
      <c r="B12">
        <f>B11+DQ</f>
        <v>11.95</v>
      </c>
      <c r="C12">
        <v>0</v>
      </c>
    </row>
    <row r="13" spans="1:3">
      <c r="A13">
        <v>3</v>
      </c>
      <c r="B13">
        <f>B12+DS</f>
        <v>12.231249999999999</v>
      </c>
      <c r="C13">
        <v>2</v>
      </c>
    </row>
    <row r="14" spans="1:3">
      <c r="A14">
        <v>3</v>
      </c>
      <c r="B14">
        <f>B13+DS</f>
        <v>12.512499999999999</v>
      </c>
      <c r="C14">
        <v>3</v>
      </c>
    </row>
    <row r="15" spans="1:3">
      <c r="A15">
        <v>3</v>
      </c>
      <c r="B15">
        <f>B14+DE</f>
        <v>13.074999999999999</v>
      </c>
      <c r="C15">
        <v>2</v>
      </c>
    </row>
    <row r="16" spans="1:3">
      <c r="A16">
        <v>1</v>
      </c>
      <c r="B16">
        <f>B15+Q</f>
        <v>13.824999999999999</v>
      </c>
      <c r="C16">
        <v>10</v>
      </c>
    </row>
    <row r="17" spans="1:3">
      <c r="A17">
        <v>2</v>
      </c>
      <c r="B17">
        <f>B16+Q</f>
        <v>14.574999999999999</v>
      </c>
      <c r="C17">
        <v>5</v>
      </c>
    </row>
    <row r="18" spans="1:3">
      <c r="A18">
        <v>3</v>
      </c>
      <c r="B18">
        <f>B17+Q</f>
        <v>15.324999999999999</v>
      </c>
      <c r="C18">
        <v>2</v>
      </c>
    </row>
    <row r="19" spans="1:3">
      <c r="A19">
        <v>3</v>
      </c>
      <c r="B19">
        <f>B18+H</f>
        <v>16.824999999999999</v>
      </c>
      <c r="C19">
        <v>1</v>
      </c>
    </row>
    <row r="20" spans="1:3">
      <c r="A20">
        <v>3</v>
      </c>
      <c r="B20">
        <f>B19+H</f>
        <v>18.324999999999999</v>
      </c>
      <c r="C20">
        <v>1</v>
      </c>
    </row>
    <row r="21" spans="1:3">
      <c r="A21">
        <v>3</v>
      </c>
      <c r="B21">
        <f>B20+E</f>
        <v>18.7</v>
      </c>
      <c r="C21">
        <v>2</v>
      </c>
    </row>
    <row r="22" spans="1:3">
      <c r="A22">
        <v>3</v>
      </c>
      <c r="B22">
        <f>B21+E</f>
        <v>19.074999999999999</v>
      </c>
      <c r="C22">
        <v>5</v>
      </c>
    </row>
    <row r="23" spans="1:3">
      <c r="A23">
        <v>3</v>
      </c>
      <c r="B23">
        <f>B22+E</f>
        <v>19.45</v>
      </c>
      <c r="C23">
        <v>2</v>
      </c>
    </row>
    <row r="24" spans="1:3">
      <c r="A24">
        <v>2</v>
      </c>
      <c r="B24">
        <f>B23+DE</f>
        <v>20.012499999999999</v>
      </c>
      <c r="C24">
        <v>10</v>
      </c>
    </row>
    <row r="25" spans="1:3">
      <c r="A25">
        <v>3</v>
      </c>
      <c r="B25">
        <f>B24+DQ</f>
        <v>21.137499999999999</v>
      </c>
      <c r="C25">
        <v>5</v>
      </c>
    </row>
    <row r="26" spans="1:3">
      <c r="A26">
        <v>3</v>
      </c>
      <c r="B26">
        <f>B25+E</f>
        <v>21.512499999999999</v>
      </c>
      <c r="C26">
        <v>2</v>
      </c>
    </row>
    <row r="27" spans="1:3">
      <c r="A27">
        <v>3</v>
      </c>
      <c r="B27">
        <f>B26+DQ</f>
        <v>22.637499999999999</v>
      </c>
      <c r="C27">
        <v>0</v>
      </c>
    </row>
    <row r="28" spans="1:3">
      <c r="A28">
        <v>3</v>
      </c>
      <c r="B28">
        <f>B27+E</f>
        <v>23.012499999999999</v>
      </c>
      <c r="C28">
        <v>2</v>
      </c>
    </row>
    <row r="29" spans="1:3">
      <c r="A29">
        <v>2</v>
      </c>
      <c r="B29">
        <f>B28+H</f>
        <v>24.512499999999999</v>
      </c>
      <c r="C29">
        <v>9</v>
      </c>
    </row>
    <row r="30" spans="1:3">
      <c r="A30">
        <v>2</v>
      </c>
      <c r="B30">
        <f>B29+E</f>
        <v>24.887499999999999</v>
      </c>
      <c r="C30">
        <v>10</v>
      </c>
    </row>
    <row r="31" spans="1:3">
      <c r="A31">
        <v>3</v>
      </c>
      <c r="B31">
        <f>B30+E</f>
        <v>25.262499999999999</v>
      </c>
      <c r="C31">
        <v>0</v>
      </c>
    </row>
    <row r="32" spans="1:3">
      <c r="A32">
        <v>3</v>
      </c>
      <c r="B32">
        <f>B31+E</f>
        <v>25.637499999999999</v>
      </c>
      <c r="C32">
        <v>5</v>
      </c>
    </row>
    <row r="33" spans="1:3">
      <c r="A33">
        <v>3</v>
      </c>
      <c r="B33">
        <f>B32+E</f>
        <v>26.012499999999999</v>
      </c>
      <c r="C33">
        <v>7</v>
      </c>
    </row>
    <row r="34" spans="1:3">
      <c r="A34">
        <v>3</v>
      </c>
      <c r="B34">
        <f>B33+S</f>
        <v>26.2</v>
      </c>
      <c r="C34">
        <v>7</v>
      </c>
    </row>
    <row r="35" spans="1:3">
      <c r="A35">
        <v>3</v>
      </c>
      <c r="B35">
        <f>B34+S</f>
        <v>26.387499999999999</v>
      </c>
      <c r="C35">
        <v>5</v>
      </c>
    </row>
    <row r="36" spans="1:3">
      <c r="A36">
        <v>3</v>
      </c>
      <c r="B36">
        <f>B35+E</f>
        <v>26.762499999999999</v>
      </c>
      <c r="C36">
        <v>2</v>
      </c>
    </row>
    <row r="37" spans="1:3">
      <c r="A37">
        <v>3</v>
      </c>
      <c r="B37">
        <f>B36+E</f>
        <v>27.137499999999999</v>
      </c>
      <c r="C37">
        <v>0</v>
      </c>
    </row>
    <row r="38" spans="1:3">
      <c r="A38">
        <v>3</v>
      </c>
      <c r="B38">
        <f>B37+DE</f>
        <v>27.7</v>
      </c>
      <c r="C38">
        <v>2</v>
      </c>
    </row>
    <row r="39" spans="1:3">
      <c r="A39">
        <v>2</v>
      </c>
      <c r="B39">
        <f>B38+DE</f>
        <v>28.262499999999999</v>
      </c>
      <c r="C39">
        <v>9</v>
      </c>
    </row>
    <row r="40" spans="1:3">
      <c r="A40">
        <v>1</v>
      </c>
      <c r="B40">
        <f>B39+E</f>
        <v>28.637499999999999</v>
      </c>
      <c r="C40">
        <v>10</v>
      </c>
    </row>
    <row r="41" spans="1:3">
      <c r="A41">
        <v>3</v>
      </c>
      <c r="B41">
        <f>B40+E</f>
        <v>29.012499999999999</v>
      </c>
      <c r="C41">
        <v>0</v>
      </c>
    </row>
    <row r="42" spans="1:3">
      <c r="A42">
        <v>2</v>
      </c>
      <c r="B42">
        <f>B41+DQ</f>
        <v>30.137499999999999</v>
      </c>
      <c r="C42">
        <v>10</v>
      </c>
    </row>
    <row r="43" spans="1:3">
      <c r="A43">
        <v>3</v>
      </c>
      <c r="B43">
        <f>B42+Q</f>
        <v>30.887499999999999</v>
      </c>
      <c r="C43">
        <v>0</v>
      </c>
    </row>
    <row r="44" spans="1:3">
      <c r="A44">
        <v>3</v>
      </c>
      <c r="B44">
        <f>B43+E</f>
        <v>31.262499999999999</v>
      </c>
      <c r="C44">
        <v>5</v>
      </c>
    </row>
    <row r="45" spans="1:3">
      <c r="A45">
        <v>3</v>
      </c>
      <c r="B45">
        <f>B44+E</f>
        <v>31.637499999999999</v>
      </c>
      <c r="C45">
        <v>3</v>
      </c>
    </row>
    <row r="46" spans="1:3">
      <c r="A46">
        <v>3</v>
      </c>
      <c r="B46">
        <f>B45+E</f>
        <v>32.012500000000003</v>
      </c>
      <c r="C46">
        <v>2</v>
      </c>
    </row>
    <row r="47" spans="1:3">
      <c r="A47">
        <v>2</v>
      </c>
      <c r="B47">
        <f>B46+E</f>
        <v>32.387500000000003</v>
      </c>
      <c r="C47">
        <v>10</v>
      </c>
    </row>
    <row r="48" spans="1:3">
      <c r="A48">
        <v>3</v>
      </c>
      <c r="B48">
        <f>B47+DQ</f>
        <v>33.512500000000003</v>
      </c>
      <c r="C48">
        <v>2</v>
      </c>
    </row>
    <row r="49" spans="1:3">
      <c r="A49">
        <v>3</v>
      </c>
      <c r="B49">
        <f>B48+Q</f>
        <v>34.262500000000003</v>
      </c>
      <c r="C49">
        <v>5</v>
      </c>
    </row>
    <row r="50" spans="1:3">
      <c r="A50">
        <v>3</v>
      </c>
      <c r="B50">
        <f>B49+DQ</f>
        <v>35.387500000000003</v>
      </c>
      <c r="C50">
        <v>6</v>
      </c>
    </row>
    <row r="51" spans="1:3">
      <c r="A51">
        <v>3</v>
      </c>
      <c r="B51">
        <f t="shared" ref="B51:B57" si="0">B50+S</f>
        <v>35.575000000000003</v>
      </c>
      <c r="C51">
        <v>5</v>
      </c>
    </row>
    <row r="52" spans="1:3">
      <c r="A52">
        <v>3</v>
      </c>
      <c r="B52">
        <f t="shared" si="0"/>
        <v>35.762500000000003</v>
      </c>
      <c r="C52">
        <v>3</v>
      </c>
    </row>
    <row r="53" spans="1:3">
      <c r="A53">
        <v>3</v>
      </c>
      <c r="B53">
        <f t="shared" si="0"/>
        <v>35.950000000000003</v>
      </c>
      <c r="C53">
        <v>1</v>
      </c>
    </row>
    <row r="54" spans="1:3">
      <c r="A54">
        <v>2</v>
      </c>
      <c r="B54">
        <f t="shared" si="0"/>
        <v>36.137500000000003</v>
      </c>
      <c r="C54">
        <v>9</v>
      </c>
    </row>
    <row r="55" spans="1:3">
      <c r="A55">
        <v>2</v>
      </c>
      <c r="B55">
        <f t="shared" si="0"/>
        <v>36.325000000000003</v>
      </c>
      <c r="C55">
        <v>8</v>
      </c>
    </row>
    <row r="56" spans="1:3">
      <c r="A56">
        <v>2</v>
      </c>
      <c r="B56">
        <f t="shared" si="0"/>
        <v>36.512500000000003</v>
      </c>
      <c r="C56">
        <v>6</v>
      </c>
    </row>
    <row r="57" spans="1:3">
      <c r="A57">
        <v>0</v>
      </c>
      <c r="B57">
        <f t="shared" si="0"/>
        <v>36.700000000000003</v>
      </c>
      <c r="C57">
        <v>5</v>
      </c>
    </row>
    <row r="58" spans="1:3">
      <c r="A58">
        <v>1</v>
      </c>
      <c r="B58">
        <f>B57+Q</f>
        <v>37.450000000000003</v>
      </c>
      <c r="C58">
        <v>2</v>
      </c>
    </row>
    <row r="59" spans="1:3">
      <c r="A59">
        <v>1</v>
      </c>
      <c r="B59">
        <f>B58+E</f>
        <v>37.825000000000003</v>
      </c>
      <c r="C59">
        <v>5</v>
      </c>
    </row>
    <row r="60" spans="1:3">
      <c r="A60">
        <v>1</v>
      </c>
      <c r="B60">
        <f>B59+H</f>
        <v>39.325000000000003</v>
      </c>
      <c r="C60">
        <v>5</v>
      </c>
    </row>
    <row r="61" spans="1:3">
      <c r="A61">
        <v>1</v>
      </c>
      <c r="B61">
        <f>B60+H</f>
        <v>40.825000000000003</v>
      </c>
      <c r="C61">
        <v>6</v>
      </c>
    </row>
    <row r="62" spans="1:3">
      <c r="A62">
        <v>1</v>
      </c>
      <c r="B62">
        <f>B61+DQ</f>
        <v>41.95</v>
      </c>
      <c r="C62">
        <v>9</v>
      </c>
    </row>
    <row r="63" spans="1:3">
      <c r="A63">
        <v>1</v>
      </c>
      <c r="B63">
        <f>B62+S</f>
        <v>42.137500000000003</v>
      </c>
      <c r="C63">
        <v>10</v>
      </c>
    </row>
    <row r="64" spans="1:3">
      <c r="A64">
        <v>3</v>
      </c>
      <c r="B64">
        <f>B63+S</f>
        <v>42.325000000000003</v>
      </c>
      <c r="C64">
        <v>0</v>
      </c>
    </row>
    <row r="65" spans="1:3">
      <c r="A65">
        <v>1</v>
      </c>
      <c r="B65">
        <f>B64+DQ</f>
        <v>43.45</v>
      </c>
      <c r="C65">
        <v>10</v>
      </c>
    </row>
    <row r="66" spans="1:3">
      <c r="A66">
        <v>3</v>
      </c>
      <c r="B66">
        <f>B65+E</f>
        <v>43.825000000000003</v>
      </c>
      <c r="C66">
        <v>0</v>
      </c>
    </row>
    <row r="67" spans="1:3">
      <c r="A67">
        <v>2</v>
      </c>
      <c r="B67">
        <f>B66+H</f>
        <v>45.325000000000003</v>
      </c>
      <c r="C67">
        <v>5</v>
      </c>
    </row>
    <row r="68" spans="1:3">
      <c r="A68">
        <v>2</v>
      </c>
      <c r="B68">
        <f>B67+Q</f>
        <v>46.075000000000003</v>
      </c>
      <c r="C68">
        <v>9</v>
      </c>
    </row>
    <row r="69" spans="1:3">
      <c r="A69">
        <v>2</v>
      </c>
      <c r="B69">
        <f>B68+E</f>
        <v>46.45</v>
      </c>
      <c r="C69">
        <v>10</v>
      </c>
    </row>
    <row r="70" spans="1:3">
      <c r="A70">
        <v>3</v>
      </c>
      <c r="B70">
        <f>B69+E</f>
        <v>46.825000000000003</v>
      </c>
      <c r="C70">
        <v>0</v>
      </c>
    </row>
    <row r="71" spans="1:3">
      <c r="A71">
        <v>3</v>
      </c>
      <c r="B71">
        <f>B70+DQ</f>
        <v>47.95</v>
      </c>
      <c r="C71">
        <v>0</v>
      </c>
    </row>
    <row r="72" spans="1:3">
      <c r="A72">
        <v>3</v>
      </c>
      <c r="B72">
        <f>B71+DS</f>
        <v>48.231250000000003</v>
      </c>
      <c r="C72">
        <v>2</v>
      </c>
    </row>
    <row r="73" spans="1:3">
      <c r="A73">
        <v>3</v>
      </c>
      <c r="B73">
        <f>B72+DS</f>
        <v>48.512500000000003</v>
      </c>
      <c r="C73">
        <v>3</v>
      </c>
    </row>
    <row r="74" spans="1:3">
      <c r="A74">
        <v>3</v>
      </c>
      <c r="B74">
        <f>B73+DE</f>
        <v>49.075000000000003</v>
      </c>
      <c r="C74">
        <v>2</v>
      </c>
    </row>
    <row r="75" spans="1:3">
      <c r="A75">
        <v>1</v>
      </c>
      <c r="B75">
        <f>B74+Q</f>
        <v>49.825000000000003</v>
      </c>
      <c r="C75">
        <v>10</v>
      </c>
    </row>
    <row r="76" spans="1:3">
      <c r="A76">
        <v>2</v>
      </c>
      <c r="B76">
        <f>B75+Q</f>
        <v>50.575000000000003</v>
      </c>
      <c r="C76">
        <v>5</v>
      </c>
    </row>
    <row r="77" spans="1:3">
      <c r="A77">
        <v>3</v>
      </c>
      <c r="B77">
        <f>B76+Q</f>
        <v>51.325000000000003</v>
      </c>
      <c r="C77">
        <v>2</v>
      </c>
    </row>
    <row r="78" spans="1:3">
      <c r="A78">
        <v>3</v>
      </c>
      <c r="B78">
        <f>B77+H</f>
        <v>52.825000000000003</v>
      </c>
      <c r="C78">
        <v>0</v>
      </c>
    </row>
    <row r="79" spans="1:3">
      <c r="A79">
        <v>3</v>
      </c>
      <c r="B79">
        <f>B78+H</f>
        <v>54.325000000000003</v>
      </c>
      <c r="C79">
        <v>0</v>
      </c>
    </row>
    <row r="80" spans="1:3">
      <c r="A80">
        <v>3</v>
      </c>
      <c r="B80">
        <f>B79+E</f>
        <v>54.7</v>
      </c>
      <c r="C80">
        <v>2</v>
      </c>
    </row>
    <row r="81" spans="1:3">
      <c r="A81">
        <v>3</v>
      </c>
      <c r="B81">
        <f>B80+E</f>
        <v>55.075000000000003</v>
      </c>
      <c r="C81">
        <v>5</v>
      </c>
    </row>
    <row r="82" spans="1:3">
      <c r="A82">
        <v>3</v>
      </c>
      <c r="B82">
        <f>B81+E</f>
        <v>55.45</v>
      </c>
      <c r="C82">
        <v>2</v>
      </c>
    </row>
    <row r="83" spans="1:3">
      <c r="A83">
        <v>2</v>
      </c>
      <c r="B83">
        <f>B82+DE</f>
        <v>56.012500000000003</v>
      </c>
      <c r="C83">
        <v>10</v>
      </c>
    </row>
    <row r="84" spans="1:3">
      <c r="A84">
        <v>3</v>
      </c>
      <c r="B84">
        <f>B83+DQ</f>
        <v>57.137500000000003</v>
      </c>
      <c r="C84">
        <v>5</v>
      </c>
    </row>
    <row r="85" spans="1:3">
      <c r="A85">
        <v>3</v>
      </c>
      <c r="B85">
        <f>B84+E</f>
        <v>57.512500000000003</v>
      </c>
      <c r="C85">
        <v>2</v>
      </c>
    </row>
    <row r="86" spans="1:3">
      <c r="A86">
        <v>3</v>
      </c>
      <c r="B86">
        <f>B85+DQ</f>
        <v>58.637500000000003</v>
      </c>
      <c r="C86">
        <v>0</v>
      </c>
    </row>
    <row r="87" spans="1:3">
      <c r="A87">
        <v>3</v>
      </c>
      <c r="B87">
        <f>B86+E</f>
        <v>59.012500000000003</v>
      </c>
      <c r="C87">
        <v>2</v>
      </c>
    </row>
    <row r="88" spans="1:3">
      <c r="A88">
        <v>2</v>
      </c>
      <c r="B88">
        <f>B87+H</f>
        <v>60.512500000000003</v>
      </c>
      <c r="C88">
        <v>9</v>
      </c>
    </row>
    <row r="89" spans="1:3">
      <c r="A89">
        <v>2</v>
      </c>
      <c r="B89">
        <f>B88+E</f>
        <v>60.887500000000003</v>
      </c>
      <c r="C89">
        <v>10</v>
      </c>
    </row>
    <row r="90" spans="1:3">
      <c r="A90">
        <v>3</v>
      </c>
      <c r="B90">
        <f>B89+E</f>
        <v>61.262500000000003</v>
      </c>
      <c r="C90">
        <v>0</v>
      </c>
    </row>
    <row r="91" spans="1:3">
      <c r="A91">
        <v>3</v>
      </c>
      <c r="B91">
        <f>B90+E</f>
        <v>61.637500000000003</v>
      </c>
      <c r="C91">
        <v>5</v>
      </c>
    </row>
    <row r="92" spans="1:3">
      <c r="A92">
        <v>3</v>
      </c>
      <c r="B92">
        <f>B91+E</f>
        <v>62.012500000000003</v>
      </c>
      <c r="C92">
        <v>7</v>
      </c>
    </row>
    <row r="93" spans="1:3">
      <c r="A93">
        <v>3</v>
      </c>
      <c r="B93">
        <f>B92+S</f>
        <v>62.2</v>
      </c>
      <c r="C93">
        <v>7</v>
      </c>
    </row>
    <row r="94" spans="1:3">
      <c r="A94">
        <v>3</v>
      </c>
      <c r="B94">
        <f>B93+S</f>
        <v>62.387500000000003</v>
      </c>
      <c r="C94">
        <v>5</v>
      </c>
    </row>
    <row r="95" spans="1:3">
      <c r="A95">
        <v>3</v>
      </c>
      <c r="B95">
        <f>B94+E</f>
        <v>62.762500000000003</v>
      </c>
      <c r="C95">
        <v>2</v>
      </c>
    </row>
    <row r="96" spans="1:3">
      <c r="A96">
        <v>3</v>
      </c>
      <c r="B96">
        <f>B95+E</f>
        <v>63.137500000000003</v>
      </c>
      <c r="C96">
        <v>0</v>
      </c>
    </row>
    <row r="97" spans="1:3">
      <c r="A97">
        <v>3</v>
      </c>
      <c r="B97">
        <f>B96+DE</f>
        <v>63.7</v>
      </c>
      <c r="C97">
        <v>2</v>
      </c>
    </row>
    <row r="98" spans="1:3">
      <c r="A98">
        <v>2</v>
      </c>
      <c r="B98">
        <f>B97+DE</f>
        <v>64.262500000000003</v>
      </c>
      <c r="C98">
        <v>9</v>
      </c>
    </row>
    <row r="99" spans="1:3">
      <c r="A99">
        <v>1</v>
      </c>
      <c r="B99">
        <f>B98+E</f>
        <v>64.637500000000003</v>
      </c>
      <c r="C99">
        <v>10</v>
      </c>
    </row>
    <row r="100" spans="1:3">
      <c r="A100">
        <v>3</v>
      </c>
      <c r="B100">
        <f>B99+E</f>
        <v>65.012500000000003</v>
      </c>
      <c r="C100">
        <v>0</v>
      </c>
    </row>
    <row r="101" spans="1:3">
      <c r="A101">
        <v>2</v>
      </c>
      <c r="B101">
        <f>B100+DQ</f>
        <v>66.137500000000003</v>
      </c>
      <c r="C101">
        <v>10</v>
      </c>
    </row>
    <row r="102" spans="1:3">
      <c r="A102">
        <v>3</v>
      </c>
      <c r="B102">
        <f>B101+Q</f>
        <v>66.887500000000003</v>
      </c>
      <c r="C102">
        <v>0</v>
      </c>
    </row>
    <row r="103" spans="1:3">
      <c r="A103">
        <v>3</v>
      </c>
      <c r="B103">
        <f>B102+E</f>
        <v>67.262500000000003</v>
      </c>
      <c r="C103">
        <v>5</v>
      </c>
    </row>
    <row r="104" spans="1:3">
      <c r="A104">
        <v>3</v>
      </c>
      <c r="B104">
        <f>B103+E</f>
        <v>67.637500000000003</v>
      </c>
      <c r="C104">
        <v>3</v>
      </c>
    </row>
    <row r="105" spans="1:3">
      <c r="A105">
        <v>3</v>
      </c>
      <c r="B105">
        <f>B104+E</f>
        <v>68.012500000000003</v>
      </c>
      <c r="C105">
        <v>2</v>
      </c>
    </row>
    <row r="106" spans="1:3">
      <c r="A106">
        <v>2</v>
      </c>
      <c r="B106">
        <f>B105+E</f>
        <v>68.387500000000003</v>
      </c>
      <c r="C106">
        <v>10</v>
      </c>
    </row>
    <row r="107" spans="1:3">
      <c r="A107">
        <v>3</v>
      </c>
      <c r="B107">
        <f>B106+DQ</f>
        <v>69.512500000000003</v>
      </c>
      <c r="C107">
        <v>2</v>
      </c>
    </row>
    <row r="108" spans="1:3">
      <c r="A108">
        <v>3</v>
      </c>
      <c r="B108">
        <f>B107+Q</f>
        <v>70.262500000000003</v>
      </c>
      <c r="C108">
        <v>5</v>
      </c>
    </row>
    <row r="109" spans="1:3">
      <c r="A109">
        <v>3</v>
      </c>
      <c r="B109">
        <f>B108+DQ</f>
        <v>71.387500000000003</v>
      </c>
      <c r="C109">
        <v>6</v>
      </c>
    </row>
    <row r="110" spans="1:3">
      <c r="A110">
        <v>3</v>
      </c>
      <c r="B110">
        <f t="shared" ref="B110:B116" si="1">B109+S</f>
        <v>71.575000000000003</v>
      </c>
      <c r="C110">
        <v>5</v>
      </c>
    </row>
    <row r="111" spans="1:3">
      <c r="A111">
        <v>3</v>
      </c>
      <c r="B111">
        <f t="shared" si="1"/>
        <v>71.762500000000003</v>
      </c>
      <c r="C111">
        <v>3</v>
      </c>
    </row>
    <row r="112" spans="1:3">
      <c r="A112">
        <v>3</v>
      </c>
      <c r="B112">
        <f t="shared" si="1"/>
        <v>71.95</v>
      </c>
      <c r="C112">
        <v>1</v>
      </c>
    </row>
    <row r="113" spans="1:3">
      <c r="A113">
        <v>2</v>
      </c>
      <c r="B113">
        <f t="shared" si="1"/>
        <v>72.137500000000003</v>
      </c>
      <c r="C113">
        <v>9</v>
      </c>
    </row>
    <row r="114" spans="1:3">
      <c r="A114">
        <v>2</v>
      </c>
      <c r="B114">
        <f t="shared" si="1"/>
        <v>72.325000000000003</v>
      </c>
      <c r="C114">
        <v>8</v>
      </c>
    </row>
    <row r="115" spans="1:3">
      <c r="A115">
        <v>2</v>
      </c>
      <c r="B115">
        <f t="shared" si="1"/>
        <v>72.512500000000003</v>
      </c>
      <c r="C115">
        <v>6</v>
      </c>
    </row>
    <row r="116" spans="1:3">
      <c r="A116">
        <v>0</v>
      </c>
      <c r="B116">
        <f t="shared" si="1"/>
        <v>72.7</v>
      </c>
      <c r="C116">
        <v>5</v>
      </c>
    </row>
    <row r="117" spans="1:3">
      <c r="A117">
        <v>1</v>
      </c>
      <c r="B117">
        <f>B116+Q</f>
        <v>73.45</v>
      </c>
      <c r="C117">
        <v>2</v>
      </c>
    </row>
    <row r="118" spans="1:3">
      <c r="A118">
        <v>1</v>
      </c>
      <c r="B118">
        <f>B117+E</f>
        <v>73.825000000000003</v>
      </c>
      <c r="C118">
        <v>5</v>
      </c>
    </row>
    <row r="119" spans="1:3">
      <c r="A119">
        <v>2</v>
      </c>
      <c r="B119">
        <f>B118+Q</f>
        <v>74.575000000000003</v>
      </c>
      <c r="C119">
        <v>7</v>
      </c>
    </row>
    <row r="120" spans="1:3">
      <c r="A120">
        <v>2</v>
      </c>
      <c r="B120">
        <f>VLOOKUP(DataList_EnemyA!G122, Sheet1!$B$4:$C$13, 2, FALSE) + B119</f>
        <v>75.137500000000003</v>
      </c>
      <c r="C120">
        <v>10</v>
      </c>
    </row>
    <row r="121" spans="1:3">
      <c r="A121">
        <v>3</v>
      </c>
      <c r="B121">
        <f>VLOOKUP(DataList_EnemyA!G123, Sheet1!$B$4:$C$13, 2, FALSE) + B120</f>
        <v>75.512500000000003</v>
      </c>
      <c r="C121">
        <v>0</v>
      </c>
    </row>
    <row r="122" spans="1:3">
      <c r="A122">
        <v>3</v>
      </c>
      <c r="B122">
        <f>VLOOKUP(DataList_EnemyA!G124, Sheet1!$B$4:$C$13, 2, FALSE) + B121</f>
        <v>76.075000000000003</v>
      </c>
      <c r="C122">
        <v>0</v>
      </c>
    </row>
    <row r="123" spans="1:3">
      <c r="A123">
        <v>3</v>
      </c>
      <c r="B123">
        <f>VLOOKUP(DataList_EnemyA!G125, Sheet1!$B$4:$C$13, 2, FALSE) + B122</f>
        <v>76.637500000000003</v>
      </c>
      <c r="C123">
        <v>1</v>
      </c>
    </row>
    <row r="124" spans="1:3">
      <c r="A124">
        <v>2</v>
      </c>
      <c r="B124">
        <f>VLOOKUP(DataList_EnemyA!G126, Sheet1!$B$4:$C$13, 2, FALSE) + B123</f>
        <v>77.012500000000003</v>
      </c>
      <c r="C124">
        <v>10</v>
      </c>
    </row>
    <row r="125" spans="1:3">
      <c r="A125">
        <v>1</v>
      </c>
      <c r="B125">
        <f>VLOOKUP(DataList_EnemyA!G127, Sheet1!$B$4:$C$13, 2, FALSE) + B124</f>
        <v>77.575000000000003</v>
      </c>
      <c r="C125">
        <v>7</v>
      </c>
    </row>
    <row r="126" spans="1:3">
      <c r="A126">
        <v>2</v>
      </c>
      <c r="B126">
        <f>VLOOKUP(DataList_EnemyA!G128, Sheet1!$B$4:$C$13, 2, FALSE) + B125</f>
        <v>77.95</v>
      </c>
      <c r="C126">
        <v>10</v>
      </c>
    </row>
    <row r="127" spans="1:3">
      <c r="A127">
        <v>3</v>
      </c>
      <c r="B127">
        <f>VLOOKUP(DataList_EnemyA!G129, Sheet1!$B$4:$C$13, 2, FALSE) + B126</f>
        <v>78.325000000000003</v>
      </c>
      <c r="C127">
        <v>0</v>
      </c>
    </row>
    <row r="128" spans="1:3">
      <c r="A128">
        <v>3</v>
      </c>
      <c r="B128">
        <f>VLOOKUP(DataList_EnemyA!G130, Sheet1!$B$4:$C$13, 2, FALSE) + B127</f>
        <v>78.887500000000003</v>
      </c>
      <c r="C128">
        <v>0</v>
      </c>
    </row>
    <row r="129" spans="1:3">
      <c r="A129">
        <v>3</v>
      </c>
      <c r="B129">
        <f>VLOOKUP(DataList_EnemyA!G131, Sheet1!$B$4:$C$13, 2, FALSE) + B128</f>
        <v>79.45</v>
      </c>
      <c r="C129">
        <v>5</v>
      </c>
    </row>
    <row r="130" spans="1:3">
      <c r="A130">
        <v>3</v>
      </c>
      <c r="B130">
        <f>VLOOKUP(DataList_EnemyA!G132, Sheet1!$B$4:$C$13, 2, FALSE) + B129</f>
        <v>79.825000000000003</v>
      </c>
      <c r="C130">
        <v>7</v>
      </c>
    </row>
    <row r="131" spans="1:3">
      <c r="A131">
        <v>3</v>
      </c>
      <c r="B131">
        <f>VLOOKUP(DataList_EnemyA!G133, Sheet1!$B$4:$C$13, 2, FALSE) + B130</f>
        <v>80.2</v>
      </c>
      <c r="C131">
        <v>2</v>
      </c>
    </row>
    <row r="132" spans="1:3">
      <c r="A132">
        <v>3</v>
      </c>
      <c r="B132">
        <f>VLOOKUP(DataList_EnemyA!G134, Sheet1!$B$4:$C$13, 2, FALSE) + B131</f>
        <v>80.575000000000003</v>
      </c>
      <c r="C132">
        <v>5</v>
      </c>
    </row>
    <row r="133" spans="1:3">
      <c r="A133">
        <v>3</v>
      </c>
      <c r="B133">
        <f>VLOOKUP(DataList_EnemyA!G135, Sheet1!$B$4:$C$13, 2, FALSE) + B132</f>
        <v>81.325000000000003</v>
      </c>
      <c r="C133">
        <v>10</v>
      </c>
    </row>
    <row r="134" spans="1:3">
      <c r="A134">
        <v>3</v>
      </c>
      <c r="B134">
        <f>VLOOKUP(DataList_EnemyA!G136, Sheet1!$B$4:$C$13, 2, FALSE) + B133</f>
        <v>81.7</v>
      </c>
      <c r="C134">
        <v>8</v>
      </c>
    </row>
    <row r="135" spans="1:3">
      <c r="A135">
        <v>3</v>
      </c>
      <c r="B135">
        <f>VLOOKUP(DataList_EnemyA!G137, Sheet1!$B$4:$C$13, 2, FALSE) + B134</f>
        <v>81.887500000000003</v>
      </c>
      <c r="C135">
        <v>6</v>
      </c>
    </row>
    <row r="136" spans="1:3">
      <c r="A136">
        <v>3</v>
      </c>
      <c r="B136">
        <f>VLOOKUP(DataList_EnemyA!G138, Sheet1!$B$4:$C$13, 2, FALSE) + B135</f>
        <v>82.075000000000003</v>
      </c>
      <c r="C136">
        <v>5</v>
      </c>
    </row>
    <row r="137" spans="1:3">
      <c r="A137">
        <v>3</v>
      </c>
      <c r="B137">
        <f>VLOOKUP(DataList_EnemyA!G139, Sheet1!$B$4:$C$13, 2, FALSE) + B136</f>
        <v>82.45</v>
      </c>
      <c r="C137">
        <v>3</v>
      </c>
    </row>
    <row r="138" spans="1:3">
      <c r="A138">
        <v>3</v>
      </c>
      <c r="B138">
        <f>VLOOKUP(DataList_EnemyA!G140, Sheet1!$B$4:$C$13, 2, FALSE) + B137</f>
        <v>82.825000000000003</v>
      </c>
      <c r="C138">
        <v>2</v>
      </c>
    </row>
    <row r="139" spans="1:3">
      <c r="A139">
        <v>1</v>
      </c>
      <c r="B139">
        <f>VLOOKUP(DataList_EnemyA!G141, Sheet1!$B$4:$C$13, 2, FALSE) + B138</f>
        <v>83.575000000000003</v>
      </c>
      <c r="C139">
        <v>10</v>
      </c>
    </row>
    <row r="140" spans="1:3">
      <c r="A140">
        <v>3</v>
      </c>
      <c r="B140">
        <f>VLOOKUP(DataList_EnemyA!G142, Sheet1!$B$4:$C$13, 2, FALSE) + B139</f>
        <v>84.137500000000003</v>
      </c>
      <c r="C140">
        <v>0</v>
      </c>
    </row>
    <row r="141" spans="1:3">
      <c r="A141">
        <v>2</v>
      </c>
      <c r="B141">
        <f>VLOOKUP(DataList_EnemyA!G143, Sheet1!$B$4:$C$13, 2, FALSE) + B140</f>
        <v>84.887500000000003</v>
      </c>
      <c r="C141">
        <v>7</v>
      </c>
    </row>
    <row r="142" spans="1:3">
      <c r="A142">
        <v>3</v>
      </c>
      <c r="B142">
        <f>VLOOKUP(DataList_EnemyA!G144, Sheet1!$B$4:$C$13, 2, FALSE) + B141</f>
        <v>85.45</v>
      </c>
      <c r="C142">
        <v>0</v>
      </c>
    </row>
    <row r="143" spans="1:3">
      <c r="A143">
        <v>1</v>
      </c>
      <c r="B143">
        <f>VLOOKUP(DataList_EnemyA!G145, Sheet1!$B$4:$C$13, 2, FALSE) + B142</f>
        <v>86.012500000000003</v>
      </c>
      <c r="C143">
        <v>10</v>
      </c>
    </row>
    <row r="144" spans="1:3">
      <c r="A144">
        <v>1</v>
      </c>
      <c r="B144">
        <f>VLOOKUP(DataList_EnemyA!G146, Sheet1!$B$4:$C$13, 2, FALSE) + B143</f>
        <v>86.762500000000003</v>
      </c>
      <c r="C144">
        <v>9</v>
      </c>
    </row>
    <row r="145" spans="1:3">
      <c r="A145">
        <v>3</v>
      </c>
      <c r="B145">
        <f>VLOOKUP(DataList_EnemyA!G147, Sheet1!$B$4:$C$13, 2, FALSE) + B144</f>
        <v>87.325000000000003</v>
      </c>
      <c r="C145">
        <v>0</v>
      </c>
    </row>
    <row r="146" spans="1:3">
      <c r="A146">
        <v>3</v>
      </c>
      <c r="B146">
        <f>VLOOKUP(DataList_EnemyA!G148, Sheet1!$B$4:$C$13, 2, FALSE) + B145</f>
        <v>87.887500000000003</v>
      </c>
      <c r="C146">
        <v>0</v>
      </c>
    </row>
    <row r="147" spans="1:3">
      <c r="A147">
        <v>3</v>
      </c>
      <c r="B147">
        <f>VLOOKUP(DataList_EnemyA!G149, Sheet1!$B$4:$C$13, 2, FALSE) + B146</f>
        <v>88.45</v>
      </c>
      <c r="C147">
        <v>2</v>
      </c>
    </row>
    <row r="148" spans="1:3">
      <c r="A148">
        <v>2</v>
      </c>
      <c r="B148">
        <f>VLOOKUP(DataList_EnemyA!G150, Sheet1!$B$4:$C$13, 2, FALSE) + B147</f>
        <v>89.012500000000003</v>
      </c>
      <c r="C148">
        <v>10</v>
      </c>
    </row>
    <row r="149" spans="1:3">
      <c r="A149">
        <v>2</v>
      </c>
      <c r="B149">
        <f>VLOOKUP(DataList_EnemyA!G151, Sheet1!$B$4:$C$13, 2, FALSE) + B148</f>
        <v>89.575000000000003</v>
      </c>
      <c r="C149">
        <v>7</v>
      </c>
    </row>
    <row r="150" spans="1:3">
      <c r="A150">
        <v>2</v>
      </c>
      <c r="B150">
        <f>VLOOKUP(DataList_EnemyA!G152, Sheet1!$B$4:$C$13, 2, FALSE) + B149</f>
        <v>89.95</v>
      </c>
      <c r="C150">
        <v>10</v>
      </c>
    </row>
    <row r="151" spans="1:3">
      <c r="A151">
        <v>3</v>
      </c>
      <c r="B151">
        <f>VLOOKUP(DataList_EnemyA!G153, Sheet1!$B$4:$C$13, 2, FALSE) + B150</f>
        <v>90.512500000000003</v>
      </c>
      <c r="C151">
        <v>0</v>
      </c>
    </row>
    <row r="152" spans="1:3">
      <c r="A152">
        <v>3</v>
      </c>
      <c r="B152">
        <f>VLOOKUP(DataList_EnemyA!G154, Sheet1!$B$4:$C$13, 2, FALSE) + B151</f>
        <v>90.887500000000003</v>
      </c>
      <c r="C152">
        <v>5</v>
      </c>
    </row>
    <row r="153" spans="1:3">
      <c r="A153">
        <v>3</v>
      </c>
      <c r="B153">
        <f>VLOOKUP(DataList_EnemyA!G155, Sheet1!$B$4:$C$13, 2, FALSE) + B152</f>
        <v>91.262500000000003</v>
      </c>
      <c r="C153">
        <v>2</v>
      </c>
    </row>
    <row r="154" spans="1:3">
      <c r="A154">
        <v>3</v>
      </c>
      <c r="B154">
        <f>VLOOKUP(DataList_EnemyA!G156, Sheet1!$B$4:$C$13, 2, FALSE) + B153</f>
        <v>91.637500000000003</v>
      </c>
      <c r="C154">
        <v>0</v>
      </c>
    </row>
    <row r="155" spans="1:3">
      <c r="A155">
        <v>1</v>
      </c>
      <c r="B155">
        <f>VLOOKUP(DataList_EnemyA!G157, Sheet1!$B$4:$C$13, 2, FALSE) + B154</f>
        <v>92.012500000000003</v>
      </c>
      <c r="C155">
        <v>10</v>
      </c>
    </row>
    <row r="156" spans="1:3">
      <c r="A156">
        <v>3</v>
      </c>
      <c r="B156">
        <f>VLOOKUP(DataList_EnemyA!G158, Sheet1!$B$4:$C$13, 2, FALSE) + B155</f>
        <v>92.762500000000003</v>
      </c>
      <c r="C156">
        <v>1</v>
      </c>
    </row>
    <row r="157" spans="1:3">
      <c r="A157">
        <v>3</v>
      </c>
      <c r="B157">
        <f>VLOOKUP(DataList_EnemyA!G159, Sheet1!$B$4:$C$13, 2, FALSE) + B156</f>
        <v>93.137500000000003</v>
      </c>
      <c r="C157">
        <v>0</v>
      </c>
    </row>
    <row r="158" spans="1:3">
      <c r="A158">
        <v>1</v>
      </c>
      <c r="B158">
        <f>VLOOKUP(DataList_EnemyA!G160, Sheet1!$B$4:$C$13, 2, FALSE) + B157</f>
        <v>93.512500000000003</v>
      </c>
      <c r="C158">
        <v>10</v>
      </c>
    </row>
    <row r="159" spans="1:3">
      <c r="A159">
        <v>2</v>
      </c>
      <c r="B159">
        <f>VLOOKUP(DataList_EnemyA!G161, Sheet1!$B$4:$C$13, 2, FALSE) + B158</f>
        <v>94.262500000000003</v>
      </c>
      <c r="C159">
        <v>10</v>
      </c>
    </row>
    <row r="160" spans="1:3">
      <c r="A160">
        <v>3</v>
      </c>
      <c r="B160">
        <f>VLOOKUP(DataList_EnemyA!G162, Sheet1!$B$4:$C$13, 2, FALSE) + B159</f>
        <v>95.012500000000003</v>
      </c>
      <c r="C160">
        <v>10</v>
      </c>
    </row>
    <row r="161" spans="1:3">
      <c r="A161">
        <v>2</v>
      </c>
      <c r="B161">
        <f>VLOOKUP(DataList_EnemyA!G163, Sheet1!$B$4:$C$13, 2, FALSE) + B160</f>
        <v>96.137500000000003</v>
      </c>
      <c r="C161">
        <v>10</v>
      </c>
    </row>
    <row r="162" spans="1:3">
      <c r="A162">
        <v>1</v>
      </c>
      <c r="B162">
        <f>VLOOKUP(DataList_EnemyA!G164, Sheet1!$B$4:$C$13, 2, FALSE) + B161</f>
        <v>97.262500000000003</v>
      </c>
      <c r="C162">
        <v>5</v>
      </c>
    </row>
    <row r="163" spans="1:3">
      <c r="A163">
        <v>2</v>
      </c>
      <c r="B163">
        <f>VLOOKUP(DataList_EnemyA!G165, Sheet1!$B$4:$C$13, 2, FALSE) + B162</f>
        <v>97.637500000000003</v>
      </c>
      <c r="C163">
        <v>10</v>
      </c>
    </row>
    <row r="164" spans="1:3">
      <c r="A164">
        <v>3</v>
      </c>
      <c r="B164">
        <f>VLOOKUP(DataList_EnemyA!G166, Sheet1!$B$4:$C$13, 2, FALSE) + B163</f>
        <v>98.2</v>
      </c>
      <c r="C164">
        <v>0</v>
      </c>
    </row>
    <row r="165" spans="1:3">
      <c r="A165">
        <v>1</v>
      </c>
      <c r="B165">
        <f>VLOOKUP(DataList_EnemyA!G167, Sheet1!$B$4:$C$13, 2, FALSE) + B164</f>
        <v>99.325000000000003</v>
      </c>
      <c r="C165">
        <v>5</v>
      </c>
    </row>
    <row r="166" spans="1:3">
      <c r="A166">
        <v>2</v>
      </c>
      <c r="B166">
        <f>VLOOKUP(DataList_EnemyA!G168, Sheet1!$B$4:$C$13, 2, FALSE) + B165</f>
        <v>100.825</v>
      </c>
      <c r="C166">
        <v>6</v>
      </c>
    </row>
    <row r="167" spans="1:3">
      <c r="A167">
        <v>1</v>
      </c>
      <c r="B167">
        <f>VLOOKUP(DataList_EnemyA!G169, Sheet1!$B$4:$C$13, 2, FALSE) + B166</f>
        <v>101.95</v>
      </c>
      <c r="C167">
        <v>9</v>
      </c>
    </row>
    <row r="168" spans="1:3">
      <c r="A168">
        <v>2</v>
      </c>
      <c r="B168">
        <f>VLOOKUP(DataList_EnemyA!G170, Sheet1!$B$4:$C$13, 2, FALSE) + B167</f>
        <v>102.1375</v>
      </c>
      <c r="C168">
        <v>10</v>
      </c>
    </row>
    <row r="169" spans="1:3">
      <c r="A169">
        <v>3</v>
      </c>
      <c r="B169">
        <f>VLOOKUP(DataList_EnemyA!G171, Sheet1!$B$4:$C$13, 2, FALSE) + B168</f>
        <v>102.5125</v>
      </c>
      <c r="C169">
        <v>0</v>
      </c>
    </row>
    <row r="170" spans="1:3">
      <c r="A170">
        <v>2</v>
      </c>
      <c r="B170">
        <f>VLOOKUP(DataList_EnemyA!G172, Sheet1!$B$4:$C$13, 2, FALSE) + B169</f>
        <v>103.6375</v>
      </c>
      <c r="C170">
        <v>10</v>
      </c>
    </row>
    <row r="171" spans="1:3">
      <c r="A171">
        <v>3</v>
      </c>
      <c r="B171">
        <f>VLOOKUP(DataList_EnemyA!G173, Sheet1!$B$4:$C$13, 2, FALSE) + B170</f>
        <v>104.0125</v>
      </c>
      <c r="C171">
        <v>0</v>
      </c>
    </row>
    <row r="172" spans="1:3">
      <c r="A172">
        <v>1</v>
      </c>
      <c r="B172">
        <f>VLOOKUP(DataList_EnemyA!G174, Sheet1!$B$4:$C$13, 2, FALSE) + B171</f>
        <v>105.5125</v>
      </c>
      <c r="C172">
        <v>5</v>
      </c>
    </row>
    <row r="173" spans="1:3">
      <c r="A173">
        <v>2</v>
      </c>
      <c r="B173">
        <f>VLOOKUP(DataList_EnemyA!G175, Sheet1!$B$4:$C$13, 2, FALSE) + B172</f>
        <v>106.2625</v>
      </c>
      <c r="C173">
        <v>9</v>
      </c>
    </row>
    <row r="174" spans="1:3">
      <c r="A174">
        <v>2</v>
      </c>
      <c r="B174">
        <f>VLOOKUP(DataList_EnemyA!G176, Sheet1!$B$4:$C$13, 2, FALSE) + B173</f>
        <v>106.6375</v>
      </c>
      <c r="C174">
        <v>10</v>
      </c>
    </row>
    <row r="175" spans="1:3">
      <c r="A175">
        <v>3</v>
      </c>
      <c r="B175">
        <f>VLOOKUP(DataList_EnemyA!G177, Sheet1!$B$4:$C$13, 2, FALSE) + B174</f>
        <v>106.91875</v>
      </c>
      <c r="C175">
        <v>0</v>
      </c>
    </row>
    <row r="176" spans="1:3">
      <c r="A176">
        <v>3</v>
      </c>
      <c r="B176">
        <f>VLOOKUP(DataList_EnemyA!G178, Sheet1!$B$4:$C$13, 2, FALSE) + B175</f>
        <v>108.04375</v>
      </c>
      <c r="C176">
        <v>0</v>
      </c>
    </row>
    <row r="177" spans="1:3">
      <c r="A177">
        <v>3</v>
      </c>
      <c r="B177">
        <f>VLOOKUP(DataList_EnemyA!G179, Sheet1!$B$4:$C$13, 2, FALSE) + B176</f>
        <v>108.325</v>
      </c>
      <c r="C177">
        <v>2</v>
      </c>
    </row>
    <row r="178" spans="1:3">
      <c r="A178">
        <v>3</v>
      </c>
      <c r="B178">
        <f>VLOOKUP(DataList_EnemyA!G180, Sheet1!$B$4:$C$13, 2, FALSE) + B177</f>
        <v>108.60625</v>
      </c>
      <c r="C178">
        <v>3</v>
      </c>
    </row>
    <row r="179" spans="1:3">
      <c r="A179">
        <v>3</v>
      </c>
      <c r="B179">
        <f>VLOOKUP(DataList_EnemyA!G181, Sheet1!$B$4:$C$13, 2, FALSE) + B178</f>
        <v>109.16875</v>
      </c>
      <c r="C179">
        <v>2</v>
      </c>
    </row>
    <row r="180" spans="1:3">
      <c r="A180">
        <v>2</v>
      </c>
      <c r="B180">
        <f>VLOOKUP(DataList_EnemyA!G182, Sheet1!$B$4:$C$13, 2, FALSE) + B179</f>
        <v>109.91875</v>
      </c>
      <c r="C180">
        <v>10</v>
      </c>
    </row>
    <row r="181" spans="1:3">
      <c r="A181">
        <v>1</v>
      </c>
      <c r="B181">
        <f>VLOOKUP(DataList_EnemyA!G183, Sheet1!$B$4:$C$13, 2, FALSE) + B180</f>
        <v>110.66875</v>
      </c>
      <c r="C181">
        <v>5</v>
      </c>
    </row>
    <row r="182" spans="1:3">
      <c r="A182">
        <v>3</v>
      </c>
      <c r="B182">
        <f>VLOOKUP(DataList_EnemyA!G184, Sheet1!$B$4:$C$13, 2, FALSE) + B181</f>
        <v>111.41875</v>
      </c>
      <c r="C182">
        <v>10</v>
      </c>
    </row>
    <row r="183" spans="1:3">
      <c r="A183">
        <v>3</v>
      </c>
      <c r="B183">
        <f>VLOOKUP(DataList_EnemyA!G185, Sheet1!$B$4:$C$13, 2, FALSE) + B182</f>
        <v>111.60625</v>
      </c>
      <c r="C183">
        <v>9</v>
      </c>
    </row>
    <row r="184" spans="1:3">
      <c r="A184">
        <v>3</v>
      </c>
      <c r="B184">
        <f>VLOOKUP(DataList_EnemyA!G186, Sheet1!$B$4:$C$13, 2, FALSE) + B183</f>
        <v>111.79375</v>
      </c>
      <c r="C184">
        <v>8</v>
      </c>
    </row>
    <row r="185" spans="1:3">
      <c r="A185">
        <v>3</v>
      </c>
      <c r="B185">
        <f>VLOOKUP(DataList_EnemyA!G187, Sheet1!$B$4:$C$13, 2, FALSE) + B184</f>
        <v>111.98125</v>
      </c>
      <c r="C185">
        <v>7</v>
      </c>
    </row>
    <row r="186" spans="1:3">
      <c r="A186">
        <v>3</v>
      </c>
      <c r="B186">
        <f>VLOOKUP(DataList_EnemyA!G188, Sheet1!$B$4:$C$13, 2, FALSE) + B185</f>
        <v>112.35625</v>
      </c>
      <c r="C186">
        <v>2</v>
      </c>
    </row>
    <row r="187" spans="1:3">
      <c r="A187">
        <v>3</v>
      </c>
      <c r="B187">
        <f>VLOOKUP(DataList_EnemyA!G189, Sheet1!$B$4:$C$13, 2, FALSE) + B186</f>
        <v>113.85625</v>
      </c>
      <c r="C187">
        <v>1</v>
      </c>
    </row>
    <row r="188" spans="1:3">
      <c r="A188">
        <v>3</v>
      </c>
      <c r="B188">
        <f>VLOOKUP(DataList_EnemyA!G190, Sheet1!$B$4:$C$13, 2, FALSE) + B187</f>
        <v>115.35625</v>
      </c>
      <c r="C188">
        <v>1</v>
      </c>
    </row>
    <row r="189" spans="1:3">
      <c r="A189">
        <v>3</v>
      </c>
      <c r="B189">
        <f>VLOOKUP(DataList_EnemyA!G191, Sheet1!$B$4:$C$13, 2, FALSE) + B188</f>
        <v>115.73125</v>
      </c>
      <c r="C189">
        <v>2</v>
      </c>
    </row>
    <row r="190" spans="1:3">
      <c r="A190">
        <v>3</v>
      </c>
      <c r="B190">
        <f>VLOOKUP(DataList_EnemyA!G192, Sheet1!$B$4:$C$13, 2, FALSE) + B189</f>
        <v>116.10625</v>
      </c>
      <c r="C190">
        <v>5</v>
      </c>
    </row>
    <row r="191" spans="1:3">
      <c r="A191">
        <v>3</v>
      </c>
      <c r="B191">
        <f>VLOOKUP(DataList_EnemyA!G193, Sheet1!$B$4:$C$13, 2, FALSE) + B190</f>
        <v>116.48125</v>
      </c>
      <c r="C191">
        <v>2</v>
      </c>
    </row>
    <row r="192" spans="1:3">
      <c r="A192">
        <v>1</v>
      </c>
      <c r="B192">
        <f>VLOOKUP(DataList_EnemyA!G194, Sheet1!$B$4:$C$13, 2, FALSE) + B191</f>
        <v>117.04375</v>
      </c>
      <c r="C192">
        <v>10</v>
      </c>
    </row>
    <row r="193" spans="1:3">
      <c r="A193">
        <v>3</v>
      </c>
      <c r="B193">
        <f>VLOOKUP(DataList_EnemyA!G195, Sheet1!$B$4:$C$13, 2, FALSE) + B192</f>
        <v>118.16875</v>
      </c>
      <c r="C193">
        <v>5</v>
      </c>
    </row>
    <row r="194" spans="1:3">
      <c r="A194">
        <v>3</v>
      </c>
      <c r="B194">
        <f>VLOOKUP(DataList_EnemyA!G196, Sheet1!$B$4:$C$13, 2, FALSE) + B193</f>
        <v>118.54375</v>
      </c>
      <c r="C194">
        <v>2</v>
      </c>
    </row>
    <row r="195" spans="1:3">
      <c r="A195">
        <v>3</v>
      </c>
      <c r="B195">
        <f>VLOOKUP(DataList_EnemyA!G197, Sheet1!$B$4:$C$13, 2, FALSE) + B194</f>
        <v>119.29375</v>
      </c>
      <c r="C195">
        <v>0</v>
      </c>
    </row>
    <row r="196" spans="1:3">
      <c r="A196">
        <v>3</v>
      </c>
      <c r="B196">
        <f>VLOOKUP(DataList_EnemyA!G198, Sheet1!$B$4:$C$13, 2, FALSE) + B195</f>
        <v>119.66875</v>
      </c>
      <c r="C196">
        <v>2</v>
      </c>
    </row>
    <row r="197" spans="1:3">
      <c r="A197">
        <v>2</v>
      </c>
      <c r="B197">
        <f>VLOOKUP(DataList_EnemyA!G199, Sheet1!$B$4:$C$13, 2, FALSE) + B196</f>
        <v>121.16875</v>
      </c>
      <c r="C197">
        <v>9</v>
      </c>
    </row>
    <row r="198" spans="1:3">
      <c r="A198">
        <v>2</v>
      </c>
      <c r="B198">
        <f>VLOOKUP(DataList_EnemyA!G200, Sheet1!$B$4:$C$13, 2, FALSE) + B197</f>
        <v>121.35625</v>
      </c>
      <c r="C198">
        <v>10</v>
      </c>
    </row>
    <row r="199" spans="1:3">
      <c r="A199">
        <v>3</v>
      </c>
      <c r="B199">
        <f>VLOOKUP(DataList_EnemyA!G201, Sheet1!$B$4:$C$13, 2, FALSE) + B198</f>
        <v>121.73125</v>
      </c>
      <c r="C199">
        <v>0</v>
      </c>
    </row>
    <row r="200" spans="1:3">
      <c r="A200">
        <v>3</v>
      </c>
      <c r="B200">
        <f>VLOOKUP(DataList_EnemyA!G202, Sheet1!$B$4:$C$13, 2, FALSE) + B199</f>
        <v>122.10625</v>
      </c>
      <c r="C200">
        <v>5</v>
      </c>
    </row>
    <row r="201" spans="1:3">
      <c r="A201">
        <v>3</v>
      </c>
      <c r="B201">
        <f>VLOOKUP(DataList_EnemyA!G203, Sheet1!$B$4:$C$13, 2, FALSE) + B200</f>
        <v>122.48125</v>
      </c>
      <c r="C201">
        <v>7</v>
      </c>
    </row>
    <row r="202" spans="1:3">
      <c r="A202">
        <v>3</v>
      </c>
      <c r="B202">
        <f>VLOOKUP(DataList_EnemyA!G204, Sheet1!$B$4:$C$13, 2, FALSE) + B201</f>
        <v>122.66875</v>
      </c>
      <c r="C202">
        <v>7</v>
      </c>
    </row>
    <row r="203" spans="1:3">
      <c r="A203">
        <v>3</v>
      </c>
      <c r="B203">
        <f>VLOOKUP(DataList_EnemyA!G205, Sheet1!$B$4:$C$13, 2, FALSE) + B202</f>
        <v>122.85625</v>
      </c>
      <c r="C203">
        <v>5</v>
      </c>
    </row>
    <row r="204" spans="1:3">
      <c r="A204">
        <v>3</v>
      </c>
      <c r="B204">
        <f>VLOOKUP(DataList_EnemyA!G206, Sheet1!$B$4:$C$13, 2, FALSE) + B203</f>
        <v>123.23125</v>
      </c>
      <c r="C204">
        <v>2</v>
      </c>
    </row>
    <row r="205" spans="1:3">
      <c r="A205">
        <v>3</v>
      </c>
      <c r="B205">
        <f>VLOOKUP(DataList_EnemyA!G207, Sheet1!$B$4:$C$13, 2, FALSE) + B204</f>
        <v>123.60625</v>
      </c>
      <c r="C205">
        <v>0</v>
      </c>
    </row>
    <row r="206" spans="1:3">
      <c r="A206">
        <v>3</v>
      </c>
      <c r="B206">
        <f>VLOOKUP(DataList_EnemyA!G208, Sheet1!$B$4:$C$13, 2, FALSE) + B205</f>
        <v>124.16875</v>
      </c>
      <c r="C206">
        <v>2</v>
      </c>
    </row>
    <row r="207" spans="1:3">
      <c r="A207">
        <v>2</v>
      </c>
      <c r="B207">
        <f>VLOOKUP(DataList_EnemyA!G209, Sheet1!$B$4:$C$13, 2, FALSE) + B206</f>
        <v>124.73125</v>
      </c>
      <c r="C207">
        <v>9</v>
      </c>
    </row>
    <row r="208" spans="1:3">
      <c r="A208">
        <v>1</v>
      </c>
      <c r="B208">
        <f>VLOOKUP(DataList_EnemyA!G210, Sheet1!$B$4:$C$13, 2, FALSE) + B207</f>
        <v>125.10625</v>
      </c>
      <c r="C208">
        <v>10</v>
      </c>
    </row>
    <row r="209" spans="1:3">
      <c r="A209">
        <v>3</v>
      </c>
      <c r="B209">
        <f>VLOOKUP(DataList_EnemyA!G211, Sheet1!$B$4:$C$13, 2, FALSE) + B208</f>
        <v>125.48125</v>
      </c>
      <c r="C209">
        <v>0</v>
      </c>
    </row>
    <row r="210" spans="1:3">
      <c r="A210">
        <v>2</v>
      </c>
      <c r="B210">
        <f>VLOOKUP(DataList_EnemyA!G212, Sheet1!$B$4:$C$13, 2, FALSE) + B209</f>
        <v>126.60625</v>
      </c>
      <c r="C210">
        <v>10</v>
      </c>
    </row>
    <row r="211" spans="1:3">
      <c r="A211">
        <v>3</v>
      </c>
      <c r="B211">
        <f>VLOOKUP(DataList_EnemyA!G213, Sheet1!$B$4:$C$13, 2, FALSE) + B210</f>
        <v>127.35625</v>
      </c>
      <c r="C211">
        <v>0</v>
      </c>
    </row>
    <row r="212" spans="1:3">
      <c r="A212">
        <v>3</v>
      </c>
      <c r="B212">
        <f>VLOOKUP(DataList_EnemyA!G214, Sheet1!$B$4:$C$13, 2, FALSE) + B211</f>
        <v>127.73125</v>
      </c>
      <c r="C212">
        <v>5</v>
      </c>
    </row>
    <row r="213" spans="1:3">
      <c r="A213">
        <v>3</v>
      </c>
      <c r="B213">
        <f>VLOOKUP(DataList_EnemyA!G215, Sheet1!$B$4:$C$13, 2, FALSE) + B212</f>
        <v>128.10624999999999</v>
      </c>
      <c r="C213">
        <v>3</v>
      </c>
    </row>
    <row r="214" spans="1:3">
      <c r="A214">
        <v>3</v>
      </c>
      <c r="B214">
        <f>VLOOKUP(DataList_EnemyA!G216, Sheet1!$B$4:$C$13, 2, FALSE) + B213</f>
        <v>128.48124999999999</v>
      </c>
      <c r="C214">
        <v>2</v>
      </c>
    </row>
    <row r="215" spans="1:3">
      <c r="A215">
        <v>1</v>
      </c>
      <c r="B215">
        <f>VLOOKUP(DataList_EnemyA!G217, Sheet1!$B$4:$C$13, 2, FALSE) + B214</f>
        <v>128.85624999999999</v>
      </c>
      <c r="C215">
        <v>10</v>
      </c>
    </row>
    <row r="216" spans="1:3">
      <c r="A216">
        <v>3</v>
      </c>
      <c r="B216">
        <f>VLOOKUP(DataList_EnemyA!G218, Sheet1!$B$4:$C$13, 2, FALSE) + B215</f>
        <v>129.98124999999999</v>
      </c>
      <c r="C216">
        <v>2</v>
      </c>
    </row>
    <row r="217" spans="1:3">
      <c r="A217">
        <v>3</v>
      </c>
      <c r="B217">
        <f>VLOOKUP(DataList_EnemyA!G219, Sheet1!$B$4:$C$13, 2, FALSE) + B216</f>
        <v>131.10624999999999</v>
      </c>
      <c r="C217">
        <v>5</v>
      </c>
    </row>
    <row r="218" spans="1:3">
      <c r="A218">
        <v>3</v>
      </c>
      <c r="B218">
        <f>VLOOKUP(DataList_EnemyA!G220, Sheet1!$B$4:$C$13, 2, FALSE) + B217</f>
        <v>131.85624999999999</v>
      </c>
      <c r="C218">
        <v>6</v>
      </c>
    </row>
    <row r="219" spans="1:3">
      <c r="A219">
        <v>3</v>
      </c>
      <c r="B219">
        <f>VLOOKUP(DataList_EnemyA!G221, Sheet1!$B$4:$C$13, 2, FALSE) + B218</f>
        <v>132.04374999999999</v>
      </c>
      <c r="C219">
        <v>5</v>
      </c>
    </row>
    <row r="220" spans="1:3">
      <c r="A220">
        <v>3</v>
      </c>
      <c r="B220">
        <f>VLOOKUP(DataList_EnemyA!G222, Sheet1!$B$4:$C$13, 2, FALSE) + B219</f>
        <v>132.23124999999999</v>
      </c>
      <c r="C220">
        <v>3</v>
      </c>
    </row>
    <row r="221" spans="1:3">
      <c r="A221">
        <v>3</v>
      </c>
      <c r="B221">
        <f>VLOOKUP(DataList_EnemyA!G223, Sheet1!$B$4:$C$13, 2, FALSE) + B220</f>
        <v>132.41874999999999</v>
      </c>
      <c r="C221">
        <v>1</v>
      </c>
    </row>
    <row r="222" spans="1:3">
      <c r="A222">
        <v>2</v>
      </c>
      <c r="B222">
        <f>VLOOKUP(DataList_EnemyA!G224, Sheet1!$B$4:$C$13, 2, FALSE) + B221</f>
        <v>132.60624999999999</v>
      </c>
      <c r="C222">
        <v>9</v>
      </c>
    </row>
    <row r="223" spans="1:3">
      <c r="A223">
        <v>1</v>
      </c>
      <c r="B223">
        <f>VLOOKUP(DataList_EnemyA!G225, Sheet1!$B$4:$C$13, 2, FALSE) + B222</f>
        <v>132.79374999999999</v>
      </c>
      <c r="C223">
        <v>8</v>
      </c>
    </row>
    <row r="224" spans="1:3">
      <c r="A224">
        <v>2</v>
      </c>
      <c r="B224">
        <f>VLOOKUP(DataList_EnemyA!G226, Sheet1!$B$4:$C$13, 2, FALSE) + B223</f>
        <v>132.98124999999999</v>
      </c>
      <c r="C224">
        <v>6</v>
      </c>
    </row>
    <row r="225" spans="1:3">
      <c r="A225">
        <v>0</v>
      </c>
      <c r="B225">
        <f>VLOOKUP(DataList_EnemyA!G227, Sheet1!$B$4:$C$13, 2, FALSE) + B224</f>
        <v>133.16874999999999</v>
      </c>
      <c r="C225">
        <v>5</v>
      </c>
    </row>
    <row r="226" spans="1:3">
      <c r="A226">
        <v>2</v>
      </c>
      <c r="B226">
        <f>VLOOKUP(DataList_EnemyA!G228, Sheet1!$B$4:$C$13, 2, FALSE) + B225</f>
        <v>133.91874999999999</v>
      </c>
      <c r="C226">
        <v>2</v>
      </c>
    </row>
    <row r="227" spans="1:3">
      <c r="A227">
        <v>1</v>
      </c>
      <c r="B227">
        <f>VLOOKUP(DataList_EnemyA!G229, Sheet1!$B$4:$C$13, 2, FALSE) + B226</f>
        <v>134.29374999999999</v>
      </c>
      <c r="C227">
        <v>5</v>
      </c>
    </row>
    <row r="228" spans="1:3">
      <c r="A228">
        <v>2</v>
      </c>
      <c r="B228">
        <f>VLOOKUP(DataList_EnemyA!G230, Sheet1!$B$4:$C$13, 2, FALSE) + B227</f>
        <v>135.41874999999999</v>
      </c>
      <c r="C228">
        <v>7</v>
      </c>
    </row>
    <row r="229" spans="1:3">
      <c r="A229">
        <v>1</v>
      </c>
      <c r="B229">
        <f>VLOOKUP(DataList_EnemyA!G231, Sheet1!$B$4:$C$13, 2, FALSE) + B228</f>
        <v>135.79374999999999</v>
      </c>
      <c r="C229">
        <v>10</v>
      </c>
    </row>
    <row r="230" spans="1:3">
      <c r="A230">
        <v>3</v>
      </c>
      <c r="B230">
        <f>VLOOKUP(DataList_EnemyA!G232, Sheet1!$B$4:$C$13, 2, FALSE) + B229</f>
        <v>136.16874999999999</v>
      </c>
      <c r="C230">
        <v>0</v>
      </c>
    </row>
    <row r="231" spans="1:3">
      <c r="A231">
        <v>3</v>
      </c>
      <c r="B231">
        <f>VLOOKUP(DataList_EnemyA!G233, Sheet1!$B$4:$C$13, 2, FALSE) + B230</f>
        <v>136.73124999999999</v>
      </c>
      <c r="C231">
        <v>0</v>
      </c>
    </row>
    <row r="232" spans="1:3">
      <c r="A232">
        <v>3</v>
      </c>
      <c r="B232">
        <f>VLOOKUP(DataList_EnemyA!G234, Sheet1!$B$4:$C$13, 2, FALSE) + B231</f>
        <v>137.29374999999999</v>
      </c>
      <c r="C232">
        <v>2</v>
      </c>
    </row>
    <row r="233" spans="1:3">
      <c r="A233">
        <v>2</v>
      </c>
      <c r="B233">
        <f>VLOOKUP(DataList_EnemyA!G235, Sheet1!$B$4:$C$13, 2, FALSE) + B232</f>
        <v>137.66874999999999</v>
      </c>
      <c r="C233">
        <v>7</v>
      </c>
    </row>
    <row r="234" spans="1:3">
      <c r="A234">
        <v>2</v>
      </c>
      <c r="B234">
        <f>VLOOKUP(DataList_EnemyA!G236, Sheet1!$B$4:$C$13, 2, FALSE) + B233</f>
        <v>137.94999999999999</v>
      </c>
      <c r="C234">
        <v>10</v>
      </c>
    </row>
    <row r="235" spans="1:3">
      <c r="A235">
        <v>1</v>
      </c>
      <c r="B235">
        <f>VLOOKUP(DataList_EnemyA!G237, Sheet1!$B$4:$C$13, 2, FALSE) + B234</f>
        <v>138.51249999999999</v>
      </c>
      <c r="C235">
        <v>7</v>
      </c>
    </row>
    <row r="236" spans="1:3">
      <c r="A236">
        <v>1</v>
      </c>
      <c r="B236">
        <f>VLOOKUP(DataList_EnemyA!G238, Sheet1!$B$4:$C$13, 2, FALSE) + B235</f>
        <v>138.69999999999999</v>
      </c>
      <c r="C236">
        <v>10</v>
      </c>
    </row>
    <row r="237" spans="1:3">
      <c r="A237">
        <v>3</v>
      </c>
      <c r="B237">
        <f>VLOOKUP(DataList_EnemyA!G239, Sheet1!$B$4:$C$13, 2, FALSE) + B236</f>
        <v>139.07499999999999</v>
      </c>
      <c r="C237">
        <v>0</v>
      </c>
    </row>
    <row r="238" spans="1:3">
      <c r="A238">
        <v>3</v>
      </c>
      <c r="B238">
        <f>VLOOKUP(DataList_EnemyA!G240, Sheet1!$B$4:$C$13, 2, FALSE) + B237</f>
        <v>139.44999999999999</v>
      </c>
      <c r="C238">
        <v>5</v>
      </c>
    </row>
    <row r="239" spans="1:3">
      <c r="A239">
        <v>3</v>
      </c>
      <c r="B239">
        <f>VLOOKUP(DataList_EnemyA!G241, Sheet1!$B$4:$C$13, 2, FALSE) + B238</f>
        <v>139.82499999999999</v>
      </c>
      <c r="C239">
        <v>2</v>
      </c>
    </row>
    <row r="240" spans="1:3">
      <c r="A240">
        <v>3</v>
      </c>
      <c r="B240">
        <f>VLOOKUP(DataList_EnemyA!G242, Sheet1!$B$4:$C$13, 2, FALSE) + B239</f>
        <v>140.19999999999999</v>
      </c>
      <c r="C240">
        <v>0</v>
      </c>
    </row>
    <row r="241" spans="1:3">
      <c r="A241">
        <v>2</v>
      </c>
      <c r="B241">
        <f>VLOOKUP(DataList_EnemyA!G243, Sheet1!$B$4:$C$13, 2, FALSE) + B240</f>
        <v>140.57499999999999</v>
      </c>
      <c r="C241">
        <v>10</v>
      </c>
    </row>
    <row r="242" spans="1:3">
      <c r="A242">
        <v>1</v>
      </c>
      <c r="B242">
        <f>VLOOKUP(DataList_EnemyA!G244, Sheet1!$B$4:$C$13, 2, FALSE) + B241</f>
        <v>141.13749999999999</v>
      </c>
      <c r="C242">
        <v>8</v>
      </c>
    </row>
    <row r="243" spans="1:3">
      <c r="A243">
        <v>2</v>
      </c>
      <c r="B243">
        <f>VLOOKUP(DataList_EnemyA!G245, Sheet1!$B$4:$C$13, 2, FALSE) + B242</f>
        <v>141.51249999999999</v>
      </c>
      <c r="C243">
        <v>5</v>
      </c>
    </row>
    <row r="244" spans="1:3">
      <c r="A244">
        <v>1</v>
      </c>
      <c r="B244">
        <f>VLOOKUP(DataList_EnemyA!G246, Sheet1!$B$4:$C$13, 2, FALSE) + B243</f>
        <v>141.88749999999999</v>
      </c>
      <c r="C244">
        <v>10</v>
      </c>
    </row>
    <row r="245" spans="1:3">
      <c r="A245">
        <v>3</v>
      </c>
      <c r="B245">
        <f>VLOOKUP(DataList_EnemyA!G247, Sheet1!$B$4:$C$13, 2, FALSE) + B244</f>
        <v>142.44999999999999</v>
      </c>
      <c r="C245">
        <v>10</v>
      </c>
    </row>
    <row r="246" spans="1:3">
      <c r="A246">
        <v>3</v>
      </c>
      <c r="B246">
        <f>VLOOKUP(DataList_EnemyA!G248, Sheet1!$B$4:$C$13, 2, FALSE) + B245</f>
        <v>143.57499999999999</v>
      </c>
      <c r="C246">
        <v>0</v>
      </c>
    </row>
    <row r="247" spans="1:3">
      <c r="A247">
        <v>3</v>
      </c>
      <c r="B247">
        <f>VLOOKUP(DataList_EnemyA!G249, Sheet1!$B$4:$C$13, 2, FALSE) + B246</f>
        <v>143.94999999999999</v>
      </c>
      <c r="C247">
        <v>2</v>
      </c>
    </row>
    <row r="248" spans="1:3">
      <c r="A248">
        <v>3</v>
      </c>
      <c r="B248">
        <f>VLOOKUP(DataList_EnemyA!G250, Sheet1!$B$4:$C$13, 2, FALSE) + B247</f>
        <v>144.51249999999999</v>
      </c>
      <c r="C248">
        <v>5</v>
      </c>
    </row>
    <row r="249" spans="1:3">
      <c r="A249">
        <v>2</v>
      </c>
      <c r="B249">
        <f>VLOOKUP(DataList_EnemyA!G251, Sheet1!$B$4:$C$13, 2, FALSE) + B248</f>
        <v>145.26249999999999</v>
      </c>
      <c r="C249">
        <v>10</v>
      </c>
    </row>
    <row r="250" spans="1:3">
      <c r="A250">
        <v>1</v>
      </c>
      <c r="B250">
        <f>VLOOKUP(DataList_EnemyA!G252, Sheet1!$B$4:$C$13, 2, FALSE) + B249</f>
        <v>146.01249999999999</v>
      </c>
      <c r="C250">
        <v>9</v>
      </c>
    </row>
    <row r="251" spans="1:3">
      <c r="A251">
        <v>2</v>
      </c>
      <c r="B251">
        <f>VLOOKUP(DataList_EnemyA!G253, Sheet1!$B$4:$C$13, 2, FALSE) + B250</f>
        <v>147.13749999999999</v>
      </c>
      <c r="C251">
        <v>10</v>
      </c>
    </row>
    <row r="252" spans="1:3">
      <c r="A252">
        <v>2</v>
      </c>
      <c r="B252">
        <f>VLOOKUP(DataList_EnemyA!G254, Sheet1!$B$4:$C$13, 2, FALSE) + B251</f>
        <v>147.51249999999999</v>
      </c>
      <c r="C252">
        <v>10</v>
      </c>
    </row>
    <row r="253" spans="1:3">
      <c r="A253">
        <v>1</v>
      </c>
      <c r="B253">
        <f>VLOOKUP(DataList_EnemyA!G255, Sheet1!$B$4:$C$13, 2, FALSE) + B252</f>
        <v>148.07499999999999</v>
      </c>
      <c r="C253">
        <v>5</v>
      </c>
    </row>
    <row r="254" spans="1:3">
      <c r="A254">
        <v>1</v>
      </c>
      <c r="B254">
        <f>VLOOKUP(DataList_EnemyA!G256, Sheet1!$B$4:$C$13, 2, FALSE) + B253</f>
        <v>148.63749999999999</v>
      </c>
      <c r="C254">
        <v>10</v>
      </c>
    </row>
    <row r="255" spans="1:3">
      <c r="A255">
        <v>3</v>
      </c>
      <c r="B255">
        <f>VLOOKUP(DataList_EnemyA!G257, Sheet1!$B$4:$C$13, 2, FALSE) + B254</f>
        <v>149.19999999999999</v>
      </c>
      <c r="C255">
        <v>0</v>
      </c>
    </row>
    <row r="256" spans="1:3">
      <c r="A256">
        <v>3</v>
      </c>
      <c r="B256">
        <f>VLOOKUP(DataList_EnemyA!G258, Sheet1!$B$4:$C$13, 2, FALSE) + B255</f>
        <v>149.57499999999999</v>
      </c>
      <c r="C256">
        <v>2</v>
      </c>
    </row>
    <row r="257" spans="1:3">
      <c r="A257">
        <v>3</v>
      </c>
      <c r="B257">
        <f>VLOOKUP(DataList_EnemyA!G259, Sheet1!$B$4:$C$13, 2, FALSE) + B256</f>
        <v>149.94999999999999</v>
      </c>
      <c r="C257">
        <v>9</v>
      </c>
    </row>
    <row r="258" spans="1:3">
      <c r="A258">
        <v>3</v>
      </c>
      <c r="B258">
        <f>VLOOKUP(DataList_EnemyA!G260, Sheet1!$B$4:$C$13, 2, FALSE) + B257</f>
        <v>150.32499999999999</v>
      </c>
      <c r="C258">
        <v>2</v>
      </c>
    </row>
    <row r="259" spans="1:3">
      <c r="A259">
        <v>3</v>
      </c>
      <c r="B259">
        <f>VLOOKUP(DataList_EnemyA!G261, Sheet1!$B$4:$C$13, 2, FALSE) + B258</f>
        <v>150.69999999999999</v>
      </c>
      <c r="C259">
        <v>0</v>
      </c>
    </row>
    <row r="260" spans="1:3">
      <c r="A260">
        <v>1</v>
      </c>
      <c r="B260">
        <f>VLOOKUP(DataList_EnemyA!G262, Sheet1!$B$4:$C$13, 2, FALSE) + B259</f>
        <v>151.07499999999999</v>
      </c>
      <c r="C260">
        <v>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9</vt:i4>
      </vt:variant>
    </vt:vector>
  </HeadingPairs>
  <TitlesOfParts>
    <vt:vector size="13" baseType="lpstr">
      <vt:lpstr>Macro1</vt:lpstr>
      <vt:lpstr>DataList_EnemyA</vt:lpstr>
      <vt:lpstr>Sheet1</vt:lpstr>
      <vt:lpstr>enemya_list</vt:lpstr>
      <vt:lpstr>DE</vt:lpstr>
      <vt:lpstr>DH</vt:lpstr>
      <vt:lpstr>DQ</vt:lpstr>
      <vt:lpstr>DS</vt:lpstr>
      <vt:lpstr>E</vt:lpstr>
      <vt:lpstr>H</vt:lpstr>
      <vt:lpstr>Q</vt:lpstr>
      <vt:lpstr>S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game</cp:lastModifiedBy>
  <dcterms:created xsi:type="dcterms:W3CDTF">2015-06-05T18:19:34Z</dcterms:created>
  <dcterms:modified xsi:type="dcterms:W3CDTF">2026-04-17T00:31:29Z</dcterms:modified>
</cp:coreProperties>
</file>