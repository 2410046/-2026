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me\Desktop\就職作品32\3D_Base\Data\CSV\"/>
    </mc:Choice>
  </mc:AlternateContent>
  <xr:revisionPtr revIDLastSave="0" documentId="13_ncr:1_{9E1F4F73-0BA2-43B0-ACF6-08D4199A4475}" xr6:coauthVersionLast="47" xr6:coauthVersionMax="47" xr10:uidLastSave="{00000000-0000-0000-0000-000000000000}"/>
  <bookViews>
    <workbookView xWindow="2685" yWindow="2685" windowWidth="21600" windowHeight="11295" firstSheet="1" activeTab="3" xr2:uid="{00000000-000D-0000-FFFF-FFFF00000000}"/>
  </bookViews>
  <sheets>
    <sheet name="Macro1" sheetId="4" state="hidden" r:id="rId1"/>
    <sheet name="DataList_EnemyA" sheetId="1" r:id="rId2"/>
    <sheet name="Sheet1" sheetId="3" r:id="rId3"/>
    <sheet name="enemya_list" sheetId="2" r:id="rId4"/>
  </sheets>
  <definedNames>
    <definedName name="DE">Sheet1!$C$12</definedName>
    <definedName name="DH">Sheet1!$C$10</definedName>
    <definedName name="DQ">Sheet1!$C$11</definedName>
    <definedName name="DS">Sheet1!$C$13</definedName>
    <definedName name="E">Sheet1!$C$8</definedName>
    <definedName name="H">Sheet1!$C$6</definedName>
    <definedName name="Q">Sheet1!$C$7</definedName>
    <definedName name="S">Sheet1!$C$9</definedName>
    <definedName name="W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C4" i="1"/>
  <c r="B2" i="2" s="1"/>
  <c r="C8" i="3"/>
  <c r="C7" i="3"/>
  <c r="C13" i="3" s="1"/>
  <c r="C4" i="3" l="1"/>
  <c r="C9" i="3"/>
  <c r="C10" i="3"/>
  <c r="C6" i="3"/>
  <c r="C11" i="3"/>
  <c r="C12" i="3"/>
  <c r="C5" i="1" l="1"/>
  <c r="C6" i="1" l="1"/>
  <c r="B3" i="2"/>
  <c r="C71" i="1"/>
  <c r="B4" i="2" l="1"/>
  <c r="C7" i="1"/>
  <c r="C72" i="1"/>
  <c r="B69" i="2"/>
  <c r="C96" i="1"/>
  <c r="B5" i="2" l="1"/>
  <c r="C8" i="1"/>
  <c r="B70" i="2"/>
  <c r="C73" i="1"/>
  <c r="C97" i="1"/>
  <c r="B94" i="2"/>
  <c r="C163" i="1"/>
  <c r="B6" i="2" l="1"/>
  <c r="C9" i="1"/>
  <c r="B71" i="2"/>
  <c r="C74" i="1"/>
  <c r="B95" i="2"/>
  <c r="C98" i="1"/>
  <c r="C164" i="1"/>
  <c r="B161" i="2"/>
  <c r="C177" i="1"/>
  <c r="B7" i="2" l="1"/>
  <c r="C10" i="1"/>
  <c r="B72" i="2"/>
  <c r="C75" i="1"/>
  <c r="B96" i="2"/>
  <c r="C99" i="1"/>
  <c r="B162" i="2"/>
  <c r="C165" i="1"/>
  <c r="C178" i="1"/>
  <c r="B175" i="2"/>
  <c r="B8" i="2" l="1"/>
  <c r="C11" i="1"/>
  <c r="B73" i="2"/>
  <c r="C76" i="1"/>
  <c r="B97" i="2"/>
  <c r="C100" i="1"/>
  <c r="B163" i="2"/>
  <c r="C166" i="1"/>
  <c r="B176" i="2"/>
  <c r="C179" i="1"/>
  <c r="B9" i="2" l="1"/>
  <c r="C12" i="1"/>
  <c r="B74" i="2"/>
  <c r="C77" i="1"/>
  <c r="B98" i="2"/>
  <c r="C101" i="1"/>
  <c r="B164" i="2"/>
  <c r="C167" i="1"/>
  <c r="B177" i="2"/>
  <c r="C180" i="1"/>
  <c r="B10" i="2" l="1"/>
  <c r="C13" i="1"/>
  <c r="B75" i="2"/>
  <c r="C78" i="1"/>
  <c r="B99" i="2"/>
  <c r="C102" i="1"/>
  <c r="B165" i="2"/>
  <c r="C168" i="1"/>
  <c r="B178" i="2"/>
  <c r="C181" i="1"/>
  <c r="B11" i="2" l="1"/>
  <c r="C14" i="1"/>
  <c r="B76" i="2"/>
  <c r="C79" i="1"/>
  <c r="B100" i="2"/>
  <c r="C103" i="1"/>
  <c r="B166" i="2"/>
  <c r="C169" i="1"/>
  <c r="B179" i="2"/>
  <c r="C182" i="1"/>
  <c r="B12" i="2" l="1"/>
  <c r="C15" i="1"/>
  <c r="B77" i="2"/>
  <c r="C80" i="1"/>
  <c r="B101" i="2"/>
  <c r="C104" i="1"/>
  <c r="B167" i="2"/>
  <c r="C170" i="1"/>
  <c r="B180" i="2"/>
  <c r="C183" i="1"/>
  <c r="B13" i="2" l="1"/>
  <c r="C16" i="1"/>
  <c r="B78" i="2"/>
  <c r="C81" i="1"/>
  <c r="B102" i="2"/>
  <c r="C105" i="1"/>
  <c r="B168" i="2"/>
  <c r="C171" i="1"/>
  <c r="B181" i="2"/>
  <c r="C184" i="1"/>
  <c r="B14" i="2" l="1"/>
  <c r="C17" i="1"/>
  <c r="B79" i="2"/>
  <c r="C82" i="1"/>
  <c r="B103" i="2"/>
  <c r="C106" i="1"/>
  <c r="B169" i="2"/>
  <c r="C172" i="1"/>
  <c r="B182" i="2"/>
  <c r="C185" i="1"/>
  <c r="C186" i="1" s="1"/>
  <c r="C187" i="1" s="1"/>
  <c r="B15" i="2" l="1"/>
  <c r="C18" i="1"/>
  <c r="B80" i="2"/>
  <c r="C83" i="1"/>
  <c r="B104" i="2"/>
  <c r="C107" i="1"/>
  <c r="B170" i="2"/>
  <c r="C173" i="1"/>
  <c r="B183" i="2"/>
  <c r="C188" i="1"/>
  <c r="B16" i="2" l="1"/>
  <c r="C19" i="1"/>
  <c r="B81" i="2"/>
  <c r="C84" i="1"/>
  <c r="B105" i="2"/>
  <c r="C108" i="1"/>
  <c r="B171" i="2"/>
  <c r="C174" i="1"/>
  <c r="B184" i="2"/>
  <c r="C189" i="1"/>
  <c r="B17" i="2" l="1"/>
  <c r="C20" i="1"/>
  <c r="B82" i="2"/>
  <c r="C85" i="1"/>
  <c r="B106" i="2"/>
  <c r="C109" i="1"/>
  <c r="B172" i="2"/>
  <c r="C175" i="1"/>
  <c r="B185" i="2"/>
  <c r="C190" i="1"/>
  <c r="B18" i="2" l="1"/>
  <c r="C21" i="1"/>
  <c r="B83" i="2"/>
  <c r="C86" i="1"/>
  <c r="B107" i="2"/>
  <c r="C110" i="1"/>
  <c r="B173" i="2"/>
  <c r="C176" i="1"/>
  <c r="B174" i="2" s="1"/>
  <c r="B186" i="2"/>
  <c r="C191" i="1"/>
  <c r="B19" i="2" l="1"/>
  <c r="C22" i="1"/>
  <c r="B84" i="2"/>
  <c r="C87" i="1"/>
  <c r="B108" i="2"/>
  <c r="C111" i="1"/>
  <c r="B187" i="2"/>
  <c r="C192" i="1"/>
  <c r="B20" i="2" l="1"/>
  <c r="C23" i="1"/>
  <c r="B85" i="2"/>
  <c r="C88" i="1"/>
  <c r="B109" i="2"/>
  <c r="C112" i="1"/>
  <c r="B188" i="2"/>
  <c r="C193" i="1"/>
  <c r="B21" i="2" l="1"/>
  <c r="C24" i="1"/>
  <c r="B86" i="2"/>
  <c r="C89" i="1"/>
  <c r="B110" i="2"/>
  <c r="C113" i="1"/>
  <c r="B189" i="2"/>
  <c r="C194" i="1"/>
  <c r="B22" i="2" l="1"/>
  <c r="C25" i="1"/>
  <c r="B87" i="2"/>
  <c r="C90" i="1"/>
  <c r="B111" i="2"/>
  <c r="C114" i="1"/>
  <c r="B190" i="2"/>
  <c r="C195" i="1"/>
  <c r="B23" i="2" l="1"/>
  <c r="C26" i="1"/>
  <c r="B88" i="2"/>
  <c r="C91" i="1"/>
  <c r="B112" i="2"/>
  <c r="C115" i="1"/>
  <c r="B191" i="2"/>
  <c r="C196" i="1"/>
  <c r="B24" i="2" l="1"/>
  <c r="C27" i="1"/>
  <c r="B89" i="2"/>
  <c r="C92" i="1"/>
  <c r="B113" i="2"/>
  <c r="C116" i="1"/>
  <c r="B192" i="2"/>
  <c r="C197" i="1"/>
  <c r="B25" i="2" l="1"/>
  <c r="C28" i="1"/>
  <c r="B90" i="2"/>
  <c r="C93" i="1"/>
  <c r="B114" i="2"/>
  <c r="C117" i="1"/>
  <c r="B193" i="2"/>
  <c r="C198" i="1"/>
  <c r="B26" i="2" l="1"/>
  <c r="C29" i="1"/>
  <c r="B91" i="2"/>
  <c r="C94" i="1"/>
  <c r="B115" i="2"/>
  <c r="C118" i="1"/>
  <c r="B194" i="2"/>
  <c r="C199" i="1"/>
  <c r="B27" i="2" l="1"/>
  <c r="C30" i="1"/>
  <c r="B92" i="2"/>
  <c r="C95" i="1"/>
  <c r="B93" i="2" s="1"/>
  <c r="B116" i="2"/>
  <c r="C119" i="1"/>
  <c r="B195" i="2"/>
  <c r="C200" i="1"/>
  <c r="B28" i="2" l="1"/>
  <c r="C31" i="1"/>
  <c r="B117" i="2"/>
  <c r="C120" i="1"/>
  <c r="B196" i="2"/>
  <c r="C201" i="1"/>
  <c r="B29" i="2" l="1"/>
  <c r="C32" i="1"/>
  <c r="B118" i="2"/>
  <c r="C121" i="1"/>
  <c r="B197" i="2"/>
  <c r="C202" i="1"/>
  <c r="B30" i="2" l="1"/>
  <c r="C33" i="1"/>
  <c r="B119" i="2"/>
  <c r="C122" i="1"/>
  <c r="B198" i="2"/>
  <c r="C203" i="1"/>
  <c r="C204" i="1" s="1"/>
  <c r="B31" i="2" l="1"/>
  <c r="C34" i="1"/>
  <c r="B120" i="2"/>
  <c r="C123" i="1"/>
  <c r="B199" i="2"/>
  <c r="C205" i="1"/>
  <c r="B32" i="2" l="1"/>
  <c r="C35" i="1"/>
  <c r="B121" i="2"/>
  <c r="C124" i="1"/>
  <c r="B200" i="2"/>
  <c r="C206" i="1"/>
  <c r="B33" i="2" l="1"/>
  <c r="C36" i="1"/>
  <c r="B122" i="2"/>
  <c r="C125" i="1"/>
  <c r="B201" i="2"/>
  <c r="C207" i="1"/>
  <c r="B34" i="2" l="1"/>
  <c r="C37" i="1"/>
  <c r="B123" i="2"/>
  <c r="C126" i="1"/>
  <c r="B202" i="2"/>
  <c r="C208" i="1"/>
  <c r="B35" i="2" l="1"/>
  <c r="C38" i="1"/>
  <c r="B124" i="2"/>
  <c r="C127" i="1"/>
  <c r="B203" i="2"/>
  <c r="C209" i="1"/>
  <c r="B36" i="2" l="1"/>
  <c r="C39" i="1"/>
  <c r="B125" i="2"/>
  <c r="C128" i="1"/>
  <c r="B204" i="2"/>
  <c r="C210" i="1"/>
  <c r="B37" i="2" l="1"/>
  <c r="C40" i="1"/>
  <c r="B126" i="2"/>
  <c r="C129" i="1"/>
  <c r="B205" i="2"/>
  <c r="C211" i="1"/>
  <c r="B38" i="2" l="1"/>
  <c r="C41" i="1"/>
  <c r="B127" i="2"/>
  <c r="C130" i="1"/>
  <c r="B206" i="2"/>
  <c r="C212" i="1"/>
  <c r="B39" i="2" l="1"/>
  <c r="C42" i="1"/>
  <c r="B128" i="2"/>
  <c r="C131" i="1"/>
  <c r="B207" i="2"/>
  <c r="C213" i="1"/>
  <c r="B208" i="2" s="1"/>
  <c r="B40" i="2" l="1"/>
  <c r="C43" i="1"/>
  <c r="B129" i="2"/>
  <c r="C132" i="1"/>
  <c r="B41" i="2" l="1"/>
  <c r="C44" i="1"/>
  <c r="B130" i="2"/>
  <c r="C133" i="1"/>
  <c r="B42" i="2" l="1"/>
  <c r="C45" i="1"/>
  <c r="B131" i="2"/>
  <c r="C134" i="1"/>
  <c r="B43" i="2" l="1"/>
  <c r="C46" i="1"/>
  <c r="B132" i="2"/>
  <c r="C135" i="1"/>
  <c r="B44" i="2" l="1"/>
  <c r="C47" i="1"/>
  <c r="B133" i="2"/>
  <c r="C136" i="1"/>
  <c r="B45" i="2" l="1"/>
  <c r="C48" i="1"/>
  <c r="B134" i="2"/>
  <c r="C137" i="1"/>
  <c r="B46" i="2" l="1"/>
  <c r="C49" i="1"/>
  <c r="B135" i="2"/>
  <c r="C138" i="1"/>
  <c r="B47" i="2" l="1"/>
  <c r="C50" i="1"/>
  <c r="B136" i="2"/>
  <c r="C139" i="1"/>
  <c r="B48" i="2" l="1"/>
  <c r="C51" i="1"/>
  <c r="B137" i="2"/>
  <c r="C140" i="1"/>
  <c r="B49" i="2" l="1"/>
  <c r="C52" i="1"/>
  <c r="B138" i="2"/>
  <c r="C141" i="1"/>
  <c r="B50" i="2" l="1"/>
  <c r="C53" i="1"/>
  <c r="B139" i="2"/>
  <c r="C142" i="1"/>
  <c r="B51" i="2" l="1"/>
  <c r="C54" i="1"/>
  <c r="B140" i="2"/>
  <c r="C143" i="1"/>
  <c r="B52" i="2" l="1"/>
  <c r="C55" i="1"/>
  <c r="B141" i="2"/>
  <c r="C144" i="1"/>
  <c r="B53" i="2" l="1"/>
  <c r="C56" i="1"/>
  <c r="B142" i="2"/>
  <c r="C145" i="1"/>
  <c r="B54" i="2" l="1"/>
  <c r="C57" i="1"/>
  <c r="B143" i="2"/>
  <c r="C146" i="1"/>
  <c r="B55" i="2" l="1"/>
  <c r="C58" i="1"/>
  <c r="B144" i="2"/>
  <c r="C147" i="1"/>
  <c r="B56" i="2" l="1"/>
  <c r="C59" i="1"/>
  <c r="B145" i="2"/>
  <c r="C148" i="1"/>
  <c r="B57" i="2" l="1"/>
  <c r="C60" i="1"/>
  <c r="B146" i="2"/>
  <c r="C149" i="1"/>
  <c r="B58" i="2" l="1"/>
  <c r="C61" i="1"/>
  <c r="B147" i="2"/>
  <c r="C150" i="1"/>
  <c r="B59" i="2" l="1"/>
  <c r="C62" i="1"/>
  <c r="B148" i="2"/>
  <c r="C151" i="1"/>
  <c r="B60" i="2" l="1"/>
  <c r="C63" i="1"/>
  <c r="B149" i="2"/>
  <c r="C152" i="1"/>
  <c r="B61" i="2" l="1"/>
  <c r="C64" i="1"/>
  <c r="B150" i="2"/>
  <c r="C153" i="1"/>
  <c r="B62" i="2" l="1"/>
  <c r="C65" i="1"/>
  <c r="B151" i="2"/>
  <c r="C154" i="1"/>
  <c r="B63" i="2" l="1"/>
  <c r="C66" i="1"/>
  <c r="B152" i="2"/>
  <c r="C155" i="1"/>
  <c r="B64" i="2" l="1"/>
  <c r="C67" i="1"/>
  <c r="B153" i="2"/>
  <c r="C156" i="1"/>
  <c r="B65" i="2" l="1"/>
  <c r="C68" i="1"/>
  <c r="B154" i="2"/>
  <c r="C157" i="1"/>
  <c r="B66" i="2" l="1"/>
  <c r="C69" i="1"/>
  <c r="B155" i="2"/>
  <c r="C158" i="1"/>
  <c r="B67" i="2" l="1"/>
  <c r="C70" i="1"/>
  <c r="B68" i="2" s="1"/>
  <c r="B156" i="2"/>
  <c r="C159" i="1"/>
  <c r="B157" i="2" l="1"/>
  <c r="C160" i="1"/>
  <c r="B158" i="2" l="1"/>
  <c r="C161" i="1"/>
  <c r="B159" i="2" l="1"/>
  <c r="C162" i="1"/>
  <c r="B160" i="2" s="1"/>
  <c r="B189" i="1" a="1"/>
  <c r="B187" i="1" a="1"/>
  <c r="B187" i="1"/>
  <c r="B18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<sst xmlns="http://schemas.openxmlformats.org/spreadsheetml/2006/main" count="289" uniqueCount="55">
  <si>
    <t>DataList</t>
    <phoneticPr fontId="1"/>
  </si>
  <si>
    <t>No</t>
    <phoneticPr fontId="1"/>
  </si>
  <si>
    <t>BMP</t>
    <phoneticPr fontId="1"/>
  </si>
  <si>
    <t>改行</t>
    <phoneticPr fontId="1"/>
  </si>
  <si>
    <t>全音符(W)</t>
    <phoneticPr fontId="1"/>
  </si>
  <si>
    <t>２分音符（H）</t>
    <phoneticPr fontId="1"/>
  </si>
  <si>
    <t>４分音符（Q）</t>
    <phoneticPr fontId="1"/>
  </si>
  <si>
    <t>８分音符（E）</t>
    <phoneticPr fontId="1"/>
  </si>
  <si>
    <t>１６分音符（S)</t>
    <phoneticPr fontId="1"/>
  </si>
  <si>
    <t>フ点２分音符（DH）</t>
    <phoneticPr fontId="1"/>
  </si>
  <si>
    <t>フ点８分音符（DE）</t>
    <phoneticPr fontId="1"/>
  </si>
  <si>
    <t>フ点４分音符（DQ）</t>
    <phoneticPr fontId="1"/>
  </si>
  <si>
    <t>フ点１６分音符（DS）</t>
    <phoneticPr fontId="1"/>
  </si>
  <si>
    <t>拍</t>
    <phoneticPr fontId="1"/>
  </si>
  <si>
    <t>音階</t>
    <phoneticPr fontId="1"/>
  </si>
  <si>
    <t>音符の種類</t>
    <phoneticPr fontId="1"/>
  </si>
  <si>
    <t>W</t>
    <phoneticPr fontId="1"/>
  </si>
  <si>
    <t>H</t>
    <phoneticPr fontId="1"/>
  </si>
  <si>
    <t>Q</t>
    <phoneticPr fontId="1"/>
  </si>
  <si>
    <t>E</t>
    <phoneticPr fontId="1"/>
  </si>
  <si>
    <t>S</t>
    <phoneticPr fontId="1"/>
  </si>
  <si>
    <t>DH</t>
    <phoneticPr fontId="1"/>
  </si>
  <si>
    <t>DQ</t>
    <phoneticPr fontId="1"/>
  </si>
  <si>
    <t>DE</t>
    <phoneticPr fontId="1"/>
  </si>
  <si>
    <t>DS</t>
    <phoneticPr fontId="1"/>
  </si>
  <si>
    <t>足すもの</t>
    <phoneticPr fontId="1"/>
  </si>
  <si>
    <t>a2</t>
    <phoneticPr fontId="1"/>
  </si>
  <si>
    <t>a3</t>
    <phoneticPr fontId="1"/>
  </si>
  <si>
    <t>a1e</t>
    <phoneticPr fontId="1"/>
  </si>
  <si>
    <t>a3e</t>
    <phoneticPr fontId="1"/>
  </si>
  <si>
    <t>休符</t>
    <phoneticPr fontId="1"/>
  </si>
  <si>
    <t>歌はじめ</t>
    <phoneticPr fontId="1"/>
  </si>
  <si>
    <t>考えずに</t>
    <phoneticPr fontId="1"/>
  </si>
  <si>
    <t>あ４</t>
    <phoneticPr fontId="1"/>
  </si>
  <si>
    <t>フぁフぁ＃フぁれ＃ど＃ド＃ドド＃レ＃</t>
  </si>
  <si>
    <t>過ごすのもいいよね</t>
  </si>
  <si>
    <t>さざ波の</t>
    <phoneticPr fontId="1"/>
  </si>
  <si>
    <t>音に癒されてる</t>
  </si>
  <si>
    <t>/軌跡を運ぶ風の音</t>
    <phoneticPr fontId="1"/>
  </si>
  <si>
    <t>時を閉じ込めて</t>
  </si>
  <si>
    <t>ててんててんててん</t>
    <phoneticPr fontId="1"/>
  </si>
  <si>
    <t>シャイニングスター綴れば</t>
  </si>
  <si>
    <t>幻が</t>
  </si>
  <si>
    <t>夢に眠る</t>
    <phoneticPr fontId="1"/>
  </si>
  <si>
    <t>掌に降り注ぐ</t>
    <phoneticPr fontId="1"/>
  </si>
  <si>
    <t>新たな世界へ</t>
  </si>
  <si>
    <t>I'll believe of my sensation</t>
  </si>
  <si>
    <t>果てしない道の向こうで</t>
  </si>
  <si>
    <t>瞼の裏に映る</t>
  </si>
  <si>
    <t>一滴の光</t>
  </si>
  <si>
    <t>トキメキを感じて</t>
  </si>
  <si>
    <t>LaLaLa</t>
    <phoneticPr fontId="1"/>
  </si>
  <si>
    <t>ててんてんてん</t>
  </si>
  <si>
    <t>ふぁ＃そ＃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</si>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</sst>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i/>
      <sz val="20"/>
      <color theme="1"/>
      <name val="Yu Gothic"/>
      <family val="3"/>
      <charset val="128"/>
      <scheme val="minor"/>
    </font>
    <font>
      <b/>
      <i/>
      <sz val="11"/>
      <color theme="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D430-97AE-4DBE-90BE-DB0BBD92C477}">
  <dimension ref="D5"/>
  <sheetViews>
    <sheetView workbookViewId="0">
      <selection activeCell="B16" sqref="B16:B18"/>
    </sheetView>
  </sheetViews>
  <sheetFormatPr defaultRowHeight="18.75"/>
  <sheetData>
    <row r="5" spans="4:4">
      <c r="D5" s="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16"/>
  <sheetViews>
    <sheetView topLeftCell="B1" zoomScale="130" zoomScaleNormal="130" workbookViewId="0">
      <selection activeCell="I7" sqref="I7"/>
    </sheetView>
  </sheetViews>
  <sheetFormatPr defaultRowHeight="18.75"/>
  <cols>
    <col min="1" max="1" width="4.625" customWidth="1"/>
    <col min="2" max="2" width="11.625" customWidth="1"/>
    <col min="3" max="3" width="24.875" customWidth="1"/>
    <col min="8" max="8" width="12.25" customWidth="1"/>
    <col min="9" max="9" width="23.625" customWidth="1"/>
    <col min="10" max="10" width="13.375" customWidth="1"/>
    <col min="11" max="11" width="13.5" customWidth="1"/>
    <col min="12" max="12" width="14.625" customWidth="1"/>
    <col min="13" max="14" width="19.25" customWidth="1"/>
    <col min="15" max="15" width="21.625" customWidth="1"/>
    <col min="16" max="16" width="20.625" customWidth="1"/>
  </cols>
  <sheetData>
    <row r="1" spans="1:13" ht="33">
      <c r="A1" s="1" t="s">
        <v>0</v>
      </c>
    </row>
    <row r="2" spans="1:13">
      <c r="A2" s="2" t="s">
        <v>1</v>
      </c>
      <c r="B2" s="2" t="s">
        <v>15</v>
      </c>
      <c r="C2" s="2" t="s">
        <v>13</v>
      </c>
      <c r="D2" s="2" t="s">
        <v>14</v>
      </c>
      <c r="E2" s="2" t="s">
        <v>3</v>
      </c>
      <c r="F2" s="2"/>
      <c r="G2" s="2" t="s">
        <v>25</v>
      </c>
      <c r="H2" s="2" t="s">
        <v>30</v>
      </c>
      <c r="M2" s="3"/>
    </row>
    <row r="3" spans="1:13">
      <c r="A3">
        <v>1</v>
      </c>
      <c r="B3">
        <v>1</v>
      </c>
      <c r="C3">
        <v>1</v>
      </c>
      <c r="D3">
        <v>1</v>
      </c>
    </row>
    <row r="4" spans="1:13">
      <c r="A4">
        <v>2</v>
      </c>
      <c r="B4">
        <v>1</v>
      </c>
      <c r="C4">
        <f>VLOOKUP(DataList_EnemyA!G4, Sheet1!$B$4:$C$13, 2, FALSE) +DataList_EnemyA!C3</f>
        <v>1.379746835443038</v>
      </c>
      <c r="D4">
        <v>1</v>
      </c>
      <c r="G4" t="s">
        <v>18</v>
      </c>
    </row>
    <row r="5" spans="1:13">
      <c r="A5">
        <v>3</v>
      </c>
      <c r="B5">
        <v>1</v>
      </c>
      <c r="C5">
        <f>VLOOKUP(DataList_EnemyA!G5, Sheet1!$B$4:$C$13, 2, FALSE) +DataList_EnemyA!C4</f>
        <v>1.759493670886076</v>
      </c>
      <c r="D5">
        <v>3</v>
      </c>
      <c r="G5" t="s">
        <v>18</v>
      </c>
      <c r="H5" t="s">
        <v>19</v>
      </c>
    </row>
    <row r="6" spans="1:13">
      <c r="A6">
        <v>4</v>
      </c>
      <c r="B6">
        <v>1</v>
      </c>
      <c r="C6">
        <f>VLOOKUP(DataList_EnemyA!G6, Sheet1!$B$4:$C$13, 2, FALSE) +DataList_EnemyA!C5</f>
        <v>2.1392405063291138</v>
      </c>
      <c r="D6">
        <v>1</v>
      </c>
      <c r="G6" t="s">
        <v>18</v>
      </c>
    </row>
    <row r="7" spans="1:13">
      <c r="A7">
        <v>5</v>
      </c>
      <c r="B7">
        <v>1</v>
      </c>
      <c r="C7">
        <f>VLOOKUP(DataList_EnemyA!G7, Sheet1!$B$4:$C$13, 2, FALSE) +DataList_EnemyA!C6</f>
        <v>2.3291139240506329</v>
      </c>
      <c r="D7">
        <v>0</v>
      </c>
      <c r="G7" t="s">
        <v>19</v>
      </c>
    </row>
    <row r="8" spans="1:13" ht="16.5" customHeight="1">
      <c r="A8">
        <v>6</v>
      </c>
      <c r="B8">
        <v>1</v>
      </c>
      <c r="C8">
        <f>VLOOKUP(DataList_EnemyA!G8, Sheet1!$B$4:$C$13, 2, FALSE) +DataList_EnemyA!C7</f>
        <v>2.518987341772152</v>
      </c>
      <c r="D8">
        <v>1</v>
      </c>
      <c r="G8" t="s">
        <v>19</v>
      </c>
    </row>
    <row r="9" spans="1:13">
      <c r="A9">
        <v>7</v>
      </c>
      <c r="B9">
        <v>1</v>
      </c>
      <c r="C9">
        <f>VLOOKUP(DataList_EnemyA!G9, Sheet1!$B$4:$C$13, 2, FALSE) +DataList_EnemyA!C8</f>
        <v>2.7088607594936711</v>
      </c>
      <c r="D9">
        <v>3</v>
      </c>
      <c r="G9" t="s">
        <v>19</v>
      </c>
    </row>
    <row r="10" spans="1:13">
      <c r="A10">
        <v>8</v>
      </c>
      <c r="B10">
        <v>2</v>
      </c>
      <c r="C10">
        <f>VLOOKUP(DataList_EnemyA!G10, Sheet1!$B$4:$C$13, 2, FALSE) +DataList_EnemyA!C9</f>
        <v>3.0886075949367093</v>
      </c>
      <c r="D10">
        <v>1</v>
      </c>
      <c r="F10" t="s">
        <v>28</v>
      </c>
      <c r="G10" t="s">
        <v>18</v>
      </c>
    </row>
    <row r="11" spans="1:13">
      <c r="A11">
        <v>9</v>
      </c>
      <c r="B11">
        <v>2</v>
      </c>
      <c r="C11">
        <f>VLOOKUP(DataList_EnemyA!G11, Sheet1!$B$4:$C$13, 2, FALSE) +DataList_EnemyA!C10</f>
        <v>3.8481012658227853</v>
      </c>
      <c r="D11">
        <v>1</v>
      </c>
      <c r="F11" t="s">
        <v>26</v>
      </c>
      <c r="G11" t="s">
        <v>17</v>
      </c>
    </row>
    <row r="12" spans="1:13">
      <c r="A12">
        <v>10</v>
      </c>
      <c r="B12">
        <v>2</v>
      </c>
      <c r="C12">
        <f>VLOOKUP(DataList_EnemyA!G12, Sheet1!$B$4:$C$13, 2, FALSE) +DataList_EnemyA!C11</f>
        <v>4.2278481012658231</v>
      </c>
      <c r="D12">
        <v>1</v>
      </c>
      <c r="G12" t="s">
        <v>18</v>
      </c>
    </row>
    <row r="13" spans="1:13">
      <c r="A13">
        <v>11</v>
      </c>
      <c r="B13">
        <v>2</v>
      </c>
      <c r="C13">
        <f>VLOOKUP(DataList_EnemyA!G13, Sheet1!$B$4:$C$13, 2, FALSE) +DataList_EnemyA!C12</f>
        <v>4.6075949367088613</v>
      </c>
      <c r="D13">
        <v>3</v>
      </c>
      <c r="G13" t="s">
        <v>18</v>
      </c>
    </row>
    <row r="14" spans="1:13">
      <c r="A14">
        <v>12</v>
      </c>
      <c r="B14">
        <v>2</v>
      </c>
      <c r="C14">
        <f>VLOOKUP(DataList_EnemyA!G14, Sheet1!$B$4:$C$13, 2, FALSE) +DataList_EnemyA!C13</f>
        <v>4.9873417721518996</v>
      </c>
      <c r="D14">
        <v>1</v>
      </c>
      <c r="G14" t="s">
        <v>18</v>
      </c>
    </row>
    <row r="15" spans="1:13">
      <c r="A15">
        <v>13</v>
      </c>
      <c r="B15">
        <v>2</v>
      </c>
      <c r="C15">
        <f>VLOOKUP(DataList_EnemyA!G15, Sheet1!$B$4:$C$13, 2, FALSE) +DataList_EnemyA!C14</f>
        <v>5.3670886075949378</v>
      </c>
      <c r="D15">
        <v>0</v>
      </c>
      <c r="G15" t="s">
        <v>18</v>
      </c>
    </row>
    <row r="16" spans="1:13">
      <c r="A16">
        <v>14</v>
      </c>
      <c r="B16">
        <v>2</v>
      </c>
      <c r="C16">
        <f>VLOOKUP(DataList_EnemyA!G16, Sheet1!$B$4:$C$13, 2, FALSE) +DataList_EnemyA!C15</f>
        <v>5.5569620253164569</v>
      </c>
      <c r="D16">
        <v>1</v>
      </c>
      <c r="F16" t="s">
        <v>27</v>
      </c>
      <c r="G16" t="s">
        <v>19</v>
      </c>
    </row>
    <row r="17" spans="1:8">
      <c r="A17">
        <v>15</v>
      </c>
      <c r="B17">
        <v>2</v>
      </c>
      <c r="C17">
        <f>VLOOKUP(DataList_EnemyA!G17, Sheet1!$B$4:$C$13, 2, FALSE) +DataList_EnemyA!C16</f>
        <v>5.746835443037976</v>
      </c>
      <c r="D17">
        <v>3</v>
      </c>
      <c r="G17" t="s">
        <v>19</v>
      </c>
    </row>
    <row r="18" spans="1:8">
      <c r="A18">
        <v>16</v>
      </c>
      <c r="B18">
        <v>2</v>
      </c>
      <c r="C18">
        <f>VLOOKUP(DataList_EnemyA!G18, Sheet1!$B$4:$C$13, 2, FALSE) +DataList_EnemyA!C17</f>
        <v>5.9367088607594951</v>
      </c>
      <c r="D18">
        <v>5</v>
      </c>
      <c r="G18" t="s">
        <v>19</v>
      </c>
    </row>
    <row r="19" spans="1:8">
      <c r="A19">
        <v>17</v>
      </c>
      <c r="B19">
        <v>2</v>
      </c>
      <c r="C19">
        <f>VLOOKUP(DataList_EnemyA!G19, Sheet1!$B$4:$C$13, 2, FALSE) +DataList_EnemyA!C18</f>
        <v>6.1265822784810142</v>
      </c>
      <c r="D19">
        <v>6</v>
      </c>
      <c r="G19" t="s">
        <v>19</v>
      </c>
    </row>
    <row r="20" spans="1:8">
      <c r="A20">
        <v>18</v>
      </c>
      <c r="B20">
        <v>2</v>
      </c>
      <c r="C20">
        <f>VLOOKUP(DataList_EnemyA!G20, Sheet1!$B$4:$C$13, 2, FALSE) +DataList_EnemyA!C19</f>
        <v>6.3164556962025333</v>
      </c>
      <c r="D20">
        <v>5</v>
      </c>
      <c r="G20" t="s">
        <v>19</v>
      </c>
    </row>
    <row r="21" spans="1:8">
      <c r="A21">
        <v>19</v>
      </c>
      <c r="B21">
        <v>1</v>
      </c>
      <c r="C21">
        <f>VLOOKUP(DataList_EnemyA!G21, Sheet1!$B$4:$C$13, 2, FALSE) +DataList_EnemyA!C20</f>
        <v>6.5063291139240524</v>
      </c>
      <c r="D21">
        <v>3</v>
      </c>
      <c r="G21" t="s">
        <v>19</v>
      </c>
    </row>
    <row r="22" spans="1:8">
      <c r="A22">
        <v>20</v>
      </c>
      <c r="B22">
        <v>2</v>
      </c>
      <c r="C22">
        <f>VLOOKUP(DataList_EnemyA!G22, Sheet1!$B$4:$C$13, 2, FALSE) +DataList_EnemyA!C21</f>
        <v>6.6962025316455716</v>
      </c>
      <c r="D22">
        <v>1</v>
      </c>
      <c r="F22" t="s">
        <v>27</v>
      </c>
      <c r="G22" t="s">
        <v>19</v>
      </c>
    </row>
    <row r="23" spans="1:8">
      <c r="A23">
        <v>21</v>
      </c>
      <c r="B23">
        <v>1</v>
      </c>
      <c r="C23">
        <f>VLOOKUP(DataList_EnemyA!G23, Sheet1!$B$4:$C$13, 2, FALSE) +DataList_EnemyA!C22</f>
        <v>7.0759493670886098</v>
      </c>
      <c r="D23">
        <v>1</v>
      </c>
      <c r="G23" t="s">
        <v>18</v>
      </c>
    </row>
    <row r="24" spans="1:8">
      <c r="A24">
        <v>22</v>
      </c>
      <c r="B24">
        <v>2</v>
      </c>
      <c r="C24">
        <f>VLOOKUP(DataList_EnemyA!G24, Sheet1!$B$4:$C$13, 2, FALSE) +DataList_EnemyA!C23</f>
        <v>7.455696202531648</v>
      </c>
      <c r="D24">
        <v>3</v>
      </c>
      <c r="G24" t="s">
        <v>18</v>
      </c>
    </row>
    <row r="25" spans="1:8">
      <c r="A25">
        <v>23</v>
      </c>
      <c r="B25">
        <v>1</v>
      </c>
      <c r="C25">
        <f>VLOOKUP(DataList_EnemyA!G25, Sheet1!$B$4:$C$13, 2, FALSE) +DataList_EnemyA!C24</f>
        <v>7.6455696202531671</v>
      </c>
      <c r="D25">
        <v>1</v>
      </c>
      <c r="G25" t="s">
        <v>19</v>
      </c>
    </row>
    <row r="26" spans="1:8">
      <c r="A26">
        <v>24</v>
      </c>
      <c r="B26">
        <v>2</v>
      </c>
      <c r="C26">
        <f>C25 + VLOOKUP(G26, Sheet1!$B$4:$C$13, 2, FALSE) + IF(H26="", 0, VLOOKUP(H26, Sheet1!$B$4:$C$13, 2, FALSE))</f>
        <v>8.0253164556962044</v>
      </c>
      <c r="D26">
        <v>0</v>
      </c>
      <c r="G26" t="s">
        <v>19</v>
      </c>
      <c r="H26" t="s">
        <v>19</v>
      </c>
    </row>
    <row r="27" spans="1:8">
      <c r="A27">
        <v>25</v>
      </c>
      <c r="B27">
        <v>1</v>
      </c>
      <c r="C27">
        <f>C26 + VLOOKUP(G27, Sheet1!$B$4:$C$13, 2, FALSE) + IF(H27="", 0, VLOOKUP(H27, Sheet1!$B$4:$C$13, 2, FALSE))</f>
        <v>8.5949367088607609</v>
      </c>
      <c r="D27">
        <v>1</v>
      </c>
      <c r="G27" t="s">
        <v>18</v>
      </c>
      <c r="H27" t="s">
        <v>19</v>
      </c>
    </row>
    <row r="28" spans="1:8">
      <c r="A28">
        <v>26</v>
      </c>
      <c r="B28">
        <v>2</v>
      </c>
      <c r="C28">
        <f>C27 + VLOOKUP(G28, Sheet1!$B$4:$C$13, 2, FALSE) + IF(H28="", 0, VLOOKUP(H28, Sheet1!$B$4:$C$13, 2, FALSE))</f>
        <v>8.9746835443037991</v>
      </c>
      <c r="D28">
        <v>3</v>
      </c>
      <c r="F28" t="s">
        <v>29</v>
      </c>
      <c r="G28" t="s">
        <v>18</v>
      </c>
    </row>
    <row r="29" spans="1:8">
      <c r="A29">
        <v>27</v>
      </c>
      <c r="B29">
        <v>2</v>
      </c>
      <c r="C29">
        <f>C28 + VLOOKUP(G29, Sheet1!$B$4:$C$13, 2, FALSE) + IF(H29="", 0, VLOOKUP(H29, Sheet1!$B$4:$C$13, 2, FALSE))</f>
        <v>9.3544303797468373</v>
      </c>
      <c r="D29">
        <v>3</v>
      </c>
      <c r="G29" t="s">
        <v>18</v>
      </c>
    </row>
    <row r="30" spans="1:8">
      <c r="A30">
        <v>28</v>
      </c>
      <c r="B30">
        <v>1</v>
      </c>
      <c r="C30">
        <f>C29 + VLOOKUP(G30, Sheet1!$B$4:$C$13, 2, FALSE) + IF(H30="", 0, VLOOKUP(H30, Sheet1!$B$4:$C$13, 2, FALSE))</f>
        <v>10.113924050632914</v>
      </c>
      <c r="D30">
        <v>1</v>
      </c>
      <c r="F30" t="s">
        <v>31</v>
      </c>
      <c r="G30" t="s">
        <v>17</v>
      </c>
    </row>
    <row r="31" spans="1:8">
      <c r="A31">
        <v>29</v>
      </c>
      <c r="B31">
        <v>1</v>
      </c>
      <c r="C31">
        <f>C30 + VLOOKUP(G31, Sheet1!$B$4:$C$13, 2, FALSE) + IF(H31="", 0, VLOOKUP(H31, Sheet1!$B$4:$C$13, 2, FALSE))</f>
        <v>10.68354430379747</v>
      </c>
      <c r="D31">
        <v>1</v>
      </c>
      <c r="G31" t="s">
        <v>22</v>
      </c>
    </row>
    <row r="32" spans="1:8">
      <c r="A32">
        <v>30</v>
      </c>
      <c r="B32">
        <v>1</v>
      </c>
      <c r="C32">
        <f>C31 + VLOOKUP(G32, Sheet1!$B$4:$C$13, 2, FALSE) + IF(H32="", 0, VLOOKUP(H32, Sheet1!$B$4:$C$13, 2, FALSE))</f>
        <v>10.873417721518988</v>
      </c>
      <c r="D32">
        <v>1</v>
      </c>
      <c r="G32" t="s">
        <v>19</v>
      </c>
    </row>
    <row r="33" spans="1:8">
      <c r="A33">
        <v>31</v>
      </c>
      <c r="B33">
        <v>1</v>
      </c>
      <c r="C33">
        <f>C32 + VLOOKUP(G33, Sheet1!$B$4:$C$13, 2, FALSE) + IF(H33="", 0, VLOOKUP(H33, Sheet1!$B$4:$C$13, 2, FALSE))</f>
        <v>11.443037974683545</v>
      </c>
      <c r="D33">
        <v>1</v>
      </c>
      <c r="G33" t="s">
        <v>22</v>
      </c>
    </row>
    <row r="34" spans="1:8">
      <c r="A34">
        <v>32</v>
      </c>
      <c r="B34">
        <v>1</v>
      </c>
      <c r="C34">
        <f>C33 + VLOOKUP(G34, Sheet1!$B$4:$C$13, 2, FALSE) + IF(H34="", 0, VLOOKUP(H34, Sheet1!$B$4:$C$13, 2, FALSE))</f>
        <v>11.632911392405063</v>
      </c>
      <c r="D34">
        <v>1</v>
      </c>
      <c r="G34" t="s">
        <v>19</v>
      </c>
    </row>
    <row r="35" spans="1:8">
      <c r="A35">
        <v>33</v>
      </c>
      <c r="B35">
        <v>2</v>
      </c>
      <c r="C35">
        <f>C34 + VLOOKUP(G35, Sheet1!$B$4:$C$13, 2, FALSE) + IF(H35="", 0, VLOOKUP(H35, Sheet1!$B$4:$C$13, 2, FALSE))</f>
        <v>11.822784810126581</v>
      </c>
      <c r="D35">
        <v>3</v>
      </c>
      <c r="G35" t="s">
        <v>19</v>
      </c>
    </row>
    <row r="36" spans="1:8">
      <c r="A36">
        <v>34</v>
      </c>
      <c r="B36">
        <v>2</v>
      </c>
      <c r="C36">
        <f>C35 + VLOOKUP(G36, Sheet1!$B$4:$C$13, 2, FALSE) + IF(H36="", 0, VLOOKUP(H36, Sheet1!$B$4:$C$13, 2, FALSE))</f>
        <v>12.0126582278481</v>
      </c>
      <c r="D36">
        <v>5</v>
      </c>
      <c r="G36" t="s">
        <v>19</v>
      </c>
    </row>
    <row r="37" spans="1:8">
      <c r="A37">
        <v>35</v>
      </c>
      <c r="B37">
        <v>2</v>
      </c>
      <c r="C37">
        <f>C36 + VLOOKUP(G37, Sheet1!$B$4:$C$13, 2, FALSE) + IF(H37="", 0, VLOOKUP(H37, Sheet1!$B$4:$C$13, 2, FALSE))</f>
        <v>12.202531645569618</v>
      </c>
      <c r="D37">
        <v>7</v>
      </c>
      <c r="G37" t="s">
        <v>19</v>
      </c>
    </row>
    <row r="38" spans="1:8">
      <c r="A38">
        <v>36</v>
      </c>
      <c r="B38">
        <v>2</v>
      </c>
      <c r="C38">
        <f>C37 + VLOOKUP(G38, Sheet1!$B$4:$C$13, 2, FALSE) + IF(H38="", 0, VLOOKUP(H38, Sheet1!$B$4:$C$13, 2, FALSE))</f>
        <v>12.392405063291136</v>
      </c>
      <c r="D38">
        <v>5</v>
      </c>
      <c r="G38" t="s">
        <v>19</v>
      </c>
    </row>
    <row r="39" spans="1:8">
      <c r="A39">
        <v>37</v>
      </c>
      <c r="B39">
        <v>2</v>
      </c>
      <c r="C39">
        <f>C38 + VLOOKUP(G39, Sheet1!$B$4:$C$13, 2, FALSE) + IF(H39="", 0, VLOOKUP(H39, Sheet1!$B$4:$C$13, 2, FALSE))</f>
        <v>12.962025316455692</v>
      </c>
      <c r="D39">
        <v>1</v>
      </c>
      <c r="F39" t="s">
        <v>33</v>
      </c>
      <c r="G39" t="s">
        <v>22</v>
      </c>
    </row>
    <row r="40" spans="1:8">
      <c r="A40">
        <v>38</v>
      </c>
      <c r="B40">
        <v>1</v>
      </c>
      <c r="C40">
        <f>C39 + VLOOKUP(G40, Sheet1!$B$4:$C$13, 2, FALSE) + IF(H40="", 0, VLOOKUP(H40, Sheet1!$B$4:$C$13, 2, FALSE))</f>
        <v>13.151898734177211</v>
      </c>
      <c r="D40">
        <v>3</v>
      </c>
      <c r="G40" t="s">
        <v>19</v>
      </c>
    </row>
    <row r="41" spans="1:8">
      <c r="A41">
        <v>39</v>
      </c>
      <c r="B41">
        <v>2</v>
      </c>
      <c r="C41">
        <f>C40 + VLOOKUP(G41, Sheet1!$B$4:$C$13, 2, FALSE) + IF(H41="", 0, VLOOKUP(H41, Sheet1!$B$4:$C$13, 2, FALSE))</f>
        <v>13.341772151898729</v>
      </c>
      <c r="D41">
        <v>5</v>
      </c>
      <c r="G41" t="s">
        <v>19</v>
      </c>
    </row>
    <row r="42" spans="1:8">
      <c r="A42">
        <v>40</v>
      </c>
      <c r="B42">
        <v>1</v>
      </c>
      <c r="C42">
        <f>C41 + VLOOKUP(G42, Sheet1!$B$4:$C$13, 2, FALSE) + IF(H42="", 0, VLOOKUP(H42, Sheet1!$B$4:$C$13, 2, FALSE))</f>
        <v>13.531645569620247</v>
      </c>
      <c r="D42">
        <v>6</v>
      </c>
      <c r="G42" t="s">
        <v>19</v>
      </c>
    </row>
    <row r="43" spans="1:8">
      <c r="A43">
        <v>41</v>
      </c>
      <c r="B43">
        <v>2</v>
      </c>
      <c r="C43">
        <f>C42 + VLOOKUP(G43, Sheet1!$B$4:$C$13, 2, FALSE) + IF(H43="", 0, VLOOKUP(H43, Sheet1!$B$4:$C$13, 2, FALSE))</f>
        <v>13.911392405063285</v>
      </c>
      <c r="D43">
        <v>5</v>
      </c>
      <c r="G43" t="s">
        <v>18</v>
      </c>
    </row>
    <row r="44" spans="1:8">
      <c r="A44">
        <v>42</v>
      </c>
      <c r="B44">
        <v>1</v>
      </c>
      <c r="C44">
        <f>C43 + VLOOKUP(G44, Sheet1!$B$4:$C$13, 2, FALSE) + IF(H44="", 0, VLOOKUP(H44, Sheet1!$B$4:$C$13, 2, FALSE))</f>
        <v>14.101265822784804</v>
      </c>
      <c r="D44">
        <v>0</v>
      </c>
      <c r="G44" t="s">
        <v>19</v>
      </c>
    </row>
    <row r="45" spans="1:8">
      <c r="A45">
        <v>43</v>
      </c>
      <c r="B45">
        <v>2</v>
      </c>
      <c r="C45">
        <f>C44 + VLOOKUP(G45, Sheet1!$B$4:$C$13, 2, FALSE) + IF(H45="", 0, VLOOKUP(H45, Sheet1!$B$4:$C$13, 2, FALSE))</f>
        <v>14.481012658227842</v>
      </c>
      <c r="D45">
        <v>3</v>
      </c>
      <c r="G45" t="s">
        <v>18</v>
      </c>
    </row>
    <row r="46" spans="1:8">
      <c r="A46">
        <v>44</v>
      </c>
      <c r="B46">
        <v>1</v>
      </c>
      <c r="C46">
        <f>C45 + VLOOKUP(G46, Sheet1!$B$4:$C$13, 2, FALSE) + IF(H46="", 0, VLOOKUP(H46, Sheet1!$B$4:$C$13, 2, FALSE))</f>
        <v>14.67088607594936</v>
      </c>
      <c r="D46">
        <v>5</v>
      </c>
      <c r="G46" t="s">
        <v>19</v>
      </c>
    </row>
    <row r="47" spans="1:8">
      <c r="A47">
        <v>45</v>
      </c>
      <c r="B47">
        <v>2</v>
      </c>
      <c r="C47">
        <f>C46 + VLOOKUP(G47, Sheet1!$B$4:$C$13, 2, FALSE) + IF(H47="", 0, VLOOKUP(H47, Sheet1!$B$4:$C$13, 2, FALSE))</f>
        <v>14.860759493670878</v>
      </c>
      <c r="D47">
        <v>1</v>
      </c>
      <c r="F47" t="s">
        <v>32</v>
      </c>
      <c r="G47" t="s">
        <v>19</v>
      </c>
    </row>
    <row r="48" spans="1:8">
      <c r="A48">
        <v>46</v>
      </c>
      <c r="B48">
        <v>1</v>
      </c>
      <c r="C48">
        <f>C47 + VLOOKUP(G48, Sheet1!$B$4:$C$13, 2, FALSE) + IF(H48="", 0, VLOOKUP(H48, Sheet1!$B$4:$C$13, 2, FALSE))</f>
        <v>15.810126582278473</v>
      </c>
      <c r="D48">
        <v>1</v>
      </c>
      <c r="G48" t="s">
        <v>17</v>
      </c>
      <c r="H48" t="s">
        <v>19</v>
      </c>
    </row>
    <row r="49" spans="1:9">
      <c r="A49">
        <v>47</v>
      </c>
      <c r="B49">
        <v>1</v>
      </c>
      <c r="C49">
        <f>C48 + VLOOKUP(G49, Sheet1!$B$4:$C$13, 2, FALSE) + IF(H49="", 0, VLOOKUP(H49, Sheet1!$B$4:$C$13, 2, FALSE))</f>
        <v>15.999999999999991</v>
      </c>
      <c r="D49">
        <v>1</v>
      </c>
      <c r="G49" t="s">
        <v>19</v>
      </c>
    </row>
    <row r="50" spans="1:9">
      <c r="A50">
        <v>48</v>
      </c>
      <c r="B50">
        <v>1</v>
      </c>
      <c r="C50">
        <f>C49 + VLOOKUP(G50, Sheet1!$B$4:$C$13, 2, FALSE) + IF(H50="", 0, VLOOKUP(H50, Sheet1!$B$4:$C$13, 2, FALSE))</f>
        <v>16.569620253164548</v>
      </c>
      <c r="D50">
        <v>1</v>
      </c>
      <c r="G50" t="s">
        <v>22</v>
      </c>
    </row>
    <row r="51" spans="1:9">
      <c r="A51">
        <v>49</v>
      </c>
      <c r="B51">
        <v>1</v>
      </c>
      <c r="C51">
        <f>C50 + VLOOKUP(G51, Sheet1!$B$4:$C$13, 2, FALSE) + IF(H51="", 0, VLOOKUP(H51, Sheet1!$B$4:$C$13, 2, FALSE))</f>
        <v>16.759493670886066</v>
      </c>
      <c r="D51">
        <v>1</v>
      </c>
      <c r="G51" t="s">
        <v>19</v>
      </c>
    </row>
    <row r="52" spans="1:9">
      <c r="A52">
        <v>50</v>
      </c>
      <c r="B52">
        <v>1</v>
      </c>
      <c r="C52">
        <f>C51 + VLOOKUP(G52, Sheet1!$B$4:$C$13, 2, FALSE) + IF(H52="", 0, VLOOKUP(H52, Sheet1!$B$4:$C$13, 2, FALSE))</f>
        <v>17.329113924050624</v>
      </c>
      <c r="D52">
        <v>1</v>
      </c>
      <c r="G52" t="s">
        <v>22</v>
      </c>
    </row>
    <row r="53" spans="1:9">
      <c r="A53">
        <v>51</v>
      </c>
      <c r="B53">
        <v>1</v>
      </c>
      <c r="C53">
        <f>C52 + VLOOKUP(G53, Sheet1!$B$4:$C$13, 2, FALSE) + IF(H53="", 0, VLOOKUP(H53, Sheet1!$B$4:$C$13, 2, FALSE))</f>
        <v>17.518987341772142</v>
      </c>
      <c r="D53">
        <v>1</v>
      </c>
      <c r="G53" t="s">
        <v>19</v>
      </c>
    </row>
    <row r="54" spans="1:9">
      <c r="A54">
        <v>52</v>
      </c>
      <c r="B54">
        <v>0</v>
      </c>
      <c r="C54">
        <f>C53 + VLOOKUP(G54, Sheet1!$B$4:$C$13, 2, FALSE) + IF(H54="", 0, VLOOKUP(H54, Sheet1!$B$4:$C$13, 2, FALSE))</f>
        <v>17.70886075949366</v>
      </c>
      <c r="D54">
        <v>8</v>
      </c>
      <c r="G54" t="s">
        <v>19</v>
      </c>
    </row>
    <row r="55" spans="1:9">
      <c r="A55">
        <v>53</v>
      </c>
      <c r="B55">
        <v>0</v>
      </c>
      <c r="C55">
        <f>C54 + VLOOKUP(G55, Sheet1!$B$4:$C$13, 2, FALSE) + IF(H55="", 0, VLOOKUP(H55, Sheet1!$B$4:$C$13, 2, FALSE))</f>
        <v>17.898734177215179</v>
      </c>
      <c r="D55">
        <v>8</v>
      </c>
      <c r="G55" t="s">
        <v>19</v>
      </c>
    </row>
    <row r="56" spans="1:9">
      <c r="A56">
        <v>54</v>
      </c>
      <c r="B56">
        <v>2</v>
      </c>
      <c r="C56">
        <f>C55 + VLOOKUP(G56, Sheet1!$B$4:$C$13, 2, FALSE) + IF(H56="", 0, VLOOKUP(H56, Sheet1!$B$4:$C$13, 2, FALSE))</f>
        <v>18.278481012658215</v>
      </c>
      <c r="D56">
        <v>5</v>
      </c>
      <c r="G56" t="s">
        <v>18</v>
      </c>
    </row>
    <row r="57" spans="1:9">
      <c r="A57">
        <v>55</v>
      </c>
      <c r="B57">
        <v>1</v>
      </c>
      <c r="C57">
        <f>C56 + VLOOKUP(G57, Sheet1!$B$4:$C$13, 2, FALSE) + IF(H57="", 0, VLOOKUP(H57, Sheet1!$B$4:$C$13, 2, FALSE))</f>
        <v>18.848101265822773</v>
      </c>
      <c r="D57">
        <v>5</v>
      </c>
      <c r="G57" t="s">
        <v>22</v>
      </c>
      <c r="I57" t="s">
        <v>34</v>
      </c>
    </row>
    <row r="58" spans="1:9">
      <c r="A58">
        <v>56</v>
      </c>
      <c r="B58">
        <v>1</v>
      </c>
      <c r="C58">
        <f>C57 + VLOOKUP(G58, Sheet1!$B$4:$C$13, 2, FALSE) + IF(H58="", 0, VLOOKUP(H58, Sheet1!$B$4:$C$13, 2, FALSE))</f>
        <v>19.037974683544292</v>
      </c>
      <c r="D58">
        <v>6</v>
      </c>
      <c r="G58" t="s">
        <v>19</v>
      </c>
    </row>
    <row r="59" spans="1:9">
      <c r="A59">
        <v>57</v>
      </c>
      <c r="B59">
        <v>1</v>
      </c>
      <c r="C59">
        <f>C58 + VLOOKUP(G59, Sheet1!$B$4:$C$13, 2, FALSE) + IF(H59="", 0, VLOOKUP(H59, Sheet1!$B$4:$C$13, 2, FALSE))</f>
        <v>19.417721518987328</v>
      </c>
      <c r="D59">
        <v>5</v>
      </c>
      <c r="G59" t="s">
        <v>18</v>
      </c>
    </row>
    <row r="60" spans="1:9">
      <c r="A60">
        <v>58</v>
      </c>
      <c r="B60">
        <v>1</v>
      </c>
      <c r="C60">
        <f>C59 + VLOOKUP(G60, Sheet1!$B$4:$C$13, 2, FALSE) + IF(H60="", 0, VLOOKUP(H60, Sheet1!$B$4:$C$13, 2, FALSE))</f>
        <v>19.797468354430364</v>
      </c>
      <c r="D60">
        <v>3</v>
      </c>
      <c r="G60" t="s">
        <v>19</v>
      </c>
      <c r="H60" t="s">
        <v>19</v>
      </c>
    </row>
    <row r="61" spans="1:9">
      <c r="A61">
        <v>59</v>
      </c>
      <c r="B61">
        <v>1</v>
      </c>
      <c r="C61">
        <f>C60 + VLOOKUP(G61, Sheet1!$B$4:$C$13, 2, FALSE) + IF(H61="", 0, VLOOKUP(H61, Sheet1!$B$4:$C$13, 2, FALSE))</f>
        <v>19.987341772151883</v>
      </c>
      <c r="D61">
        <v>1</v>
      </c>
      <c r="G61" t="s">
        <v>19</v>
      </c>
    </row>
    <row r="62" spans="1:9">
      <c r="A62">
        <v>60</v>
      </c>
      <c r="B62">
        <v>1</v>
      </c>
      <c r="C62">
        <f>C61 + VLOOKUP(G62, Sheet1!$B$4:$C$13, 2, FALSE) + IF(H62="", 0, VLOOKUP(H62, Sheet1!$B$4:$C$13, 2, FALSE))</f>
        <v>20.367088607594919</v>
      </c>
      <c r="D62">
        <v>1</v>
      </c>
      <c r="G62" t="s">
        <v>18</v>
      </c>
    </row>
    <row r="63" spans="1:9">
      <c r="A63">
        <v>61</v>
      </c>
      <c r="B63">
        <v>1</v>
      </c>
      <c r="C63">
        <f>C62 + VLOOKUP(G63, Sheet1!$B$4:$C$13, 2, FALSE) + IF(H63="", 0, VLOOKUP(H63, Sheet1!$B$4:$C$13, 2, FALSE))</f>
        <v>20.651898734177198</v>
      </c>
      <c r="D63">
        <v>0</v>
      </c>
      <c r="G63" t="s">
        <v>23</v>
      </c>
    </row>
    <row r="64" spans="1:9">
      <c r="A64">
        <v>62</v>
      </c>
      <c r="B64">
        <v>1</v>
      </c>
      <c r="C64">
        <f>C63 + VLOOKUP(G64, Sheet1!$B$4:$C$13, 2, FALSE) + IF(H64="", 0, VLOOKUP(H64, Sheet1!$B$4:$C$13, 2, FALSE))</f>
        <v>21.031645569620235</v>
      </c>
      <c r="D64">
        <v>1</v>
      </c>
      <c r="G64" t="s">
        <v>18</v>
      </c>
    </row>
    <row r="65" spans="1:9">
      <c r="A65">
        <v>63</v>
      </c>
      <c r="B65">
        <v>1</v>
      </c>
      <c r="C65">
        <f>C64 + VLOOKUP(G65, Sheet1!$B$4:$C$13, 2, FALSE) + IF(H65="", 0, VLOOKUP(H65, Sheet1!$B$4:$C$13, 2, FALSE))</f>
        <v>21.221518987341753</v>
      </c>
      <c r="D65">
        <v>3</v>
      </c>
      <c r="G65" t="s">
        <v>19</v>
      </c>
      <c r="I65" t="s">
        <v>35</v>
      </c>
    </row>
    <row r="66" spans="1:9">
      <c r="A66">
        <v>64</v>
      </c>
      <c r="B66">
        <v>2</v>
      </c>
      <c r="C66">
        <f>C65 + VLOOKUP(G66, Sheet1!$B$4:$C$13, 2, FALSE) + IF(H66="", 0, VLOOKUP(H66, Sheet1!$B$4:$C$13, 2, FALSE))</f>
        <v>21.981012658227829</v>
      </c>
      <c r="D66">
        <v>5</v>
      </c>
      <c r="G66" t="s">
        <v>17</v>
      </c>
      <c r="I66" t="s">
        <v>36</v>
      </c>
    </row>
    <row r="67" spans="1:9">
      <c r="A67">
        <v>65</v>
      </c>
      <c r="B67">
        <v>2</v>
      </c>
      <c r="C67">
        <f>C66 + VLOOKUP(G67, Sheet1!$B$4:$C$13, 2, FALSE) + IF(H67="", 0, VLOOKUP(H67, Sheet1!$B$4:$C$13, 2, FALSE))</f>
        <v>22.360759493670866</v>
      </c>
      <c r="D67">
        <v>6</v>
      </c>
      <c r="G67" t="s">
        <v>18</v>
      </c>
    </row>
    <row r="68" spans="1:9">
      <c r="A68">
        <v>66</v>
      </c>
      <c r="B68">
        <v>2</v>
      </c>
      <c r="C68">
        <f>C67 + VLOOKUP(G68, Sheet1!$B$4:$C$13, 2, FALSE) + IF(H68="", 0, VLOOKUP(H68, Sheet1!$B$4:$C$13, 2, FALSE))</f>
        <v>22.740506329113902</v>
      </c>
      <c r="D68">
        <v>5</v>
      </c>
      <c r="G68" t="s">
        <v>18</v>
      </c>
    </row>
    <row r="69" spans="1:9">
      <c r="A69">
        <v>67</v>
      </c>
      <c r="B69">
        <v>2</v>
      </c>
      <c r="C69">
        <f>C68 + VLOOKUP(G69, Sheet1!$B$4:$C$13, 2, FALSE) + IF(H69="", 0, VLOOKUP(H69, Sheet1!$B$4:$C$13, 2, FALSE))</f>
        <v>23.120253164556939</v>
      </c>
      <c r="D69">
        <v>0</v>
      </c>
      <c r="G69" t="s">
        <v>18</v>
      </c>
    </row>
    <row r="70" spans="1:9">
      <c r="A70">
        <v>68</v>
      </c>
      <c r="B70">
        <v>2</v>
      </c>
      <c r="C70">
        <f>C69 + VLOOKUP(G70, Sheet1!$B$4:$C$13, 2, FALSE) + IF(H70="", 0, VLOOKUP(H70, Sheet1!$B$4:$C$13, 2, FALSE))</f>
        <v>23.499999999999975</v>
      </c>
      <c r="D70">
        <v>1</v>
      </c>
      <c r="G70" t="s">
        <v>19</v>
      </c>
      <c r="H70" t="s">
        <v>19</v>
      </c>
    </row>
    <row r="71" spans="1:9">
      <c r="A71">
        <v>69</v>
      </c>
      <c r="B71">
        <v>1</v>
      </c>
      <c r="C71">
        <f>C70 + VLOOKUP(G71, Sheet1!$B$4:$C$13, 2, FALSE) + IF(H71="", 0, VLOOKUP(H71, Sheet1!$B$4:$C$13, 2, FALSE))</f>
        <v>24.924050632911367</v>
      </c>
      <c r="D71">
        <v>1</v>
      </c>
      <c r="G71" t="s">
        <v>21</v>
      </c>
      <c r="H71" t="s">
        <v>23</v>
      </c>
      <c r="I71" t="s">
        <v>37</v>
      </c>
    </row>
    <row r="72" spans="1:9">
      <c r="A72">
        <v>70</v>
      </c>
      <c r="B72">
        <v>1</v>
      </c>
      <c r="C72">
        <f>C71 + VLOOKUP(G72, Sheet1!$B$4:$C$13, 2, FALSE) + IF(H72="", 0, VLOOKUP(H72, Sheet1!$B$4:$C$13, 2, FALSE))</f>
        <v>25.113924050632885</v>
      </c>
      <c r="D72">
        <v>5</v>
      </c>
      <c r="G72" t="s">
        <v>19</v>
      </c>
    </row>
    <row r="73" spans="1:9">
      <c r="A73">
        <v>71</v>
      </c>
      <c r="B73">
        <v>1</v>
      </c>
      <c r="C73">
        <f>C72 + VLOOKUP(G73, Sheet1!$B$4:$C$13, 2, FALSE) + IF(H73="", 0, VLOOKUP(H73, Sheet1!$B$4:$C$13, 2, FALSE))</f>
        <v>25.493670886075922</v>
      </c>
      <c r="D73">
        <v>8</v>
      </c>
      <c r="G73" t="s">
        <v>18</v>
      </c>
    </row>
    <row r="74" spans="1:9">
      <c r="A74">
        <v>72</v>
      </c>
      <c r="B74">
        <v>1</v>
      </c>
      <c r="C74">
        <f>C73 + VLOOKUP(G74, Sheet1!$B$4:$C$13, 2, FALSE) + IF(H74="", 0, VLOOKUP(H74, Sheet1!$B$4:$C$13, 2, FALSE))</f>
        <v>25.873417721518958</v>
      </c>
      <c r="D74">
        <v>5</v>
      </c>
      <c r="G74" t="s">
        <v>18</v>
      </c>
    </row>
    <row r="75" spans="1:9">
      <c r="A75">
        <v>73</v>
      </c>
      <c r="B75">
        <v>1</v>
      </c>
      <c r="C75">
        <f>C74 + VLOOKUP(G75, Sheet1!$B$4:$C$13, 2, FALSE) + IF(H75="", 0, VLOOKUP(H75, Sheet1!$B$4:$C$13, 2, FALSE))</f>
        <v>26.253164556961995</v>
      </c>
      <c r="D75">
        <v>0</v>
      </c>
      <c r="G75" t="s">
        <v>18</v>
      </c>
    </row>
    <row r="76" spans="1:9">
      <c r="A76">
        <v>74</v>
      </c>
      <c r="B76">
        <v>1</v>
      </c>
      <c r="C76">
        <f>C75 + VLOOKUP(G76, Sheet1!$B$4:$C$13, 2, FALSE) + IF(H76="", 0, VLOOKUP(H76, Sheet1!$B$4:$C$13, 2, FALSE))</f>
        <v>26.443037974683513</v>
      </c>
      <c r="D76">
        <v>0</v>
      </c>
      <c r="G76" t="s">
        <v>19</v>
      </c>
    </row>
    <row r="77" spans="1:9">
      <c r="A77">
        <v>75</v>
      </c>
      <c r="B77">
        <v>1</v>
      </c>
      <c r="C77">
        <f>C76 + VLOOKUP(G77, Sheet1!$B$4:$C$13, 2, FALSE) + IF(H77="", 0, VLOOKUP(H77, Sheet1!$B$4:$C$13, 2, FALSE))</f>
        <v>26.632911392405031</v>
      </c>
      <c r="D77">
        <v>1</v>
      </c>
      <c r="G77" t="s">
        <v>19</v>
      </c>
    </row>
    <row r="78" spans="1:9">
      <c r="A78">
        <v>76</v>
      </c>
      <c r="B78">
        <v>1</v>
      </c>
      <c r="C78">
        <f>C77 + VLOOKUP(G78, Sheet1!$B$4:$C$13, 2, FALSE) + IF(H78="", 0, VLOOKUP(H78, Sheet1!$B$4:$C$13, 2, FALSE))</f>
        <v>26.822784810126549</v>
      </c>
      <c r="D78">
        <v>3</v>
      </c>
      <c r="G78" t="s">
        <v>19</v>
      </c>
    </row>
    <row r="79" spans="1:9">
      <c r="A79">
        <v>77</v>
      </c>
      <c r="B79">
        <v>1</v>
      </c>
      <c r="C79">
        <f>C78 + VLOOKUP(G79, Sheet1!$B$4:$C$13, 2, FALSE) + IF(H79="", 0, VLOOKUP(H79, Sheet1!$B$4:$C$13, 2, FALSE))</f>
        <v>27.202531645569586</v>
      </c>
      <c r="D79">
        <v>1</v>
      </c>
      <c r="G79" t="s">
        <v>18</v>
      </c>
    </row>
    <row r="80" spans="1:9">
      <c r="A80">
        <v>78</v>
      </c>
      <c r="B80">
        <v>1</v>
      </c>
      <c r="C80">
        <f>C79 + VLOOKUP(G80, Sheet1!$B$4:$C$13, 2, FALSE) + IF(H80="", 0, VLOOKUP(H80, Sheet1!$B$4:$C$13, 2, FALSE))</f>
        <v>28.15189873417718</v>
      </c>
      <c r="D80">
        <v>10</v>
      </c>
      <c r="G80" t="s">
        <v>22</v>
      </c>
      <c r="H80" t="s">
        <v>18</v>
      </c>
      <c r="I80" t="s">
        <v>38</v>
      </c>
    </row>
    <row r="81" spans="1:9">
      <c r="A81">
        <v>79</v>
      </c>
      <c r="B81">
        <v>1</v>
      </c>
      <c r="C81">
        <f>C80 + VLOOKUP(G81, Sheet1!$B$4:$C$13, 2, FALSE) + IF(H81="", 0, VLOOKUP(H81, Sheet1!$B$4:$C$13, 2, FALSE))</f>
        <v>28.341772151898699</v>
      </c>
      <c r="D81">
        <v>8</v>
      </c>
      <c r="G81" t="s">
        <v>19</v>
      </c>
    </row>
    <row r="82" spans="1:9">
      <c r="A82">
        <v>80</v>
      </c>
      <c r="B82">
        <v>1</v>
      </c>
      <c r="C82">
        <f>C81 + VLOOKUP(G82, Sheet1!$B$4:$C$13, 2, FALSE) + IF(H82="", 0, VLOOKUP(H82, Sheet1!$B$4:$C$13, 2, FALSE))</f>
        <v>28.721518987341735</v>
      </c>
      <c r="D82">
        <v>6</v>
      </c>
      <c r="G82" t="s">
        <v>18</v>
      </c>
    </row>
    <row r="83" spans="1:9">
      <c r="A83">
        <v>81</v>
      </c>
      <c r="B83">
        <v>1</v>
      </c>
      <c r="C83">
        <f>C82 + VLOOKUP(G83, Sheet1!$B$4:$C$13, 2, FALSE) + IF(H83="", 0, VLOOKUP(H83, Sheet1!$B$4:$C$13, 2, FALSE))</f>
        <v>28.911392405063253</v>
      </c>
      <c r="D83">
        <v>6</v>
      </c>
      <c r="G83" t="s">
        <v>19</v>
      </c>
    </row>
    <row r="84" spans="1:9">
      <c r="A84">
        <v>82</v>
      </c>
      <c r="B84">
        <v>1</v>
      </c>
      <c r="C84">
        <f>C83 + VLOOKUP(G84, Sheet1!$B$4:$C$13, 2, FALSE) + IF(H84="", 0, VLOOKUP(H84, Sheet1!$B$4:$C$13, 2, FALSE))</f>
        <v>29.29113924050629</v>
      </c>
      <c r="D84">
        <v>5</v>
      </c>
      <c r="G84" t="s">
        <v>18</v>
      </c>
    </row>
    <row r="85" spans="1:9">
      <c r="A85">
        <v>83</v>
      </c>
      <c r="B85">
        <v>1</v>
      </c>
      <c r="C85">
        <f>C84 + VLOOKUP(G85, Sheet1!$B$4:$C$13, 2, FALSE) + IF(H85="", 0, VLOOKUP(H85, Sheet1!$B$4:$C$13, 2, FALSE))</f>
        <v>29.481012658227808</v>
      </c>
      <c r="D85">
        <v>6</v>
      </c>
      <c r="G85" t="s">
        <v>19</v>
      </c>
    </row>
    <row r="86" spans="1:9">
      <c r="A86">
        <v>84</v>
      </c>
      <c r="B86">
        <v>3</v>
      </c>
      <c r="C86">
        <f>C85 + VLOOKUP(G86, Sheet1!$B$4:$C$13, 2, FALSE) + IF(H86="", 0, VLOOKUP(H86, Sheet1!$B$4:$C$13, 2, FALSE))</f>
        <v>29.765822784810087</v>
      </c>
      <c r="D86">
        <v>0</v>
      </c>
      <c r="G86" t="s">
        <v>23</v>
      </c>
    </row>
    <row r="87" spans="1:9">
      <c r="A87">
        <v>85</v>
      </c>
      <c r="B87">
        <v>1</v>
      </c>
      <c r="C87">
        <f>C86 + VLOOKUP(G87, Sheet1!$B$4:$C$13, 2, FALSE) + IF(H87="", 0, VLOOKUP(H87, Sheet1!$B$4:$C$13, 2, FALSE))</f>
        <v>30.145569620253124</v>
      </c>
      <c r="D87">
        <v>10</v>
      </c>
      <c r="G87" t="s">
        <v>18</v>
      </c>
    </row>
    <row r="88" spans="1:9">
      <c r="A88">
        <v>86</v>
      </c>
      <c r="B88">
        <v>1</v>
      </c>
      <c r="C88">
        <f>C87 + VLOOKUP(G88, Sheet1!$B$4:$C$13, 2, FALSE) + IF(H88="", 0, VLOOKUP(H88, Sheet1!$B$4:$C$13, 2, FALSE))</f>
        <v>30.430379746835403</v>
      </c>
      <c r="D88">
        <v>8</v>
      </c>
      <c r="G88" t="s">
        <v>23</v>
      </c>
    </row>
    <row r="89" spans="1:9">
      <c r="A89">
        <v>87</v>
      </c>
      <c r="B89">
        <v>1</v>
      </c>
      <c r="C89">
        <f>C88 + VLOOKUP(G89, Sheet1!$B$4:$C$13, 2, FALSE) + IF(H89="", 0, VLOOKUP(H89, Sheet1!$B$4:$C$13, 2, FALSE))</f>
        <v>30.620253164556921</v>
      </c>
      <c r="D89">
        <v>8</v>
      </c>
      <c r="G89" t="s">
        <v>19</v>
      </c>
    </row>
    <row r="90" spans="1:9">
      <c r="A90">
        <v>88</v>
      </c>
      <c r="B90">
        <v>1</v>
      </c>
      <c r="C90">
        <f>C89 + VLOOKUP(G90, Sheet1!$B$4:$C$13, 2, FALSE) + IF(H90="", 0, VLOOKUP(H90, Sheet1!$B$4:$C$13, 2, FALSE))</f>
        <v>31.189873417721476</v>
      </c>
      <c r="D90">
        <v>9</v>
      </c>
      <c r="G90" t="s">
        <v>18</v>
      </c>
      <c r="H90" t="s">
        <v>19</v>
      </c>
      <c r="I90" t="s">
        <v>39</v>
      </c>
    </row>
    <row r="91" spans="1:9">
      <c r="A91">
        <v>89</v>
      </c>
      <c r="B91">
        <v>2</v>
      </c>
      <c r="C91">
        <f>C90 + VLOOKUP(G91, Sheet1!$B$4:$C$13, 2, FALSE) + IF(H91="", 0, VLOOKUP(H91, Sheet1!$B$4:$C$13, 2, FALSE))</f>
        <v>31.379746835442994</v>
      </c>
      <c r="D91">
        <v>8</v>
      </c>
      <c r="G91" t="s">
        <v>19</v>
      </c>
    </row>
    <row r="92" spans="1:9">
      <c r="A92">
        <v>90</v>
      </c>
      <c r="B92">
        <v>2</v>
      </c>
      <c r="C92">
        <f>C91 + VLOOKUP(G92, Sheet1!$B$4:$C$13, 2, FALSE) + IF(H92="", 0, VLOOKUP(H92, Sheet1!$B$4:$C$13, 2, FALSE))</f>
        <v>31.664556962025273</v>
      </c>
      <c r="D92">
        <v>6</v>
      </c>
      <c r="G92" t="s">
        <v>23</v>
      </c>
    </row>
    <row r="93" spans="1:9">
      <c r="A93">
        <v>91</v>
      </c>
      <c r="B93">
        <v>2</v>
      </c>
      <c r="C93">
        <f>C92 + VLOOKUP(G93, Sheet1!$B$4:$C$13, 2, FALSE) + IF(H93="", 0, VLOOKUP(H93, Sheet1!$B$4:$C$13, 2, FALSE))</f>
        <v>32.044303797468309</v>
      </c>
      <c r="D93">
        <v>6</v>
      </c>
      <c r="G93" t="s">
        <v>18</v>
      </c>
    </row>
    <row r="94" spans="1:9">
      <c r="A94">
        <v>92</v>
      </c>
      <c r="B94">
        <v>2</v>
      </c>
      <c r="C94">
        <f>C93 + VLOOKUP(G94, Sheet1!$B$4:$C$13, 2, FALSE) + IF(H94="", 0, VLOOKUP(H94, Sheet1!$B$4:$C$13, 2, FALSE))</f>
        <v>32.329113924050588</v>
      </c>
      <c r="D94">
        <v>8</v>
      </c>
      <c r="G94" t="s">
        <v>23</v>
      </c>
    </row>
    <row r="95" spans="1:9">
      <c r="A95">
        <v>93</v>
      </c>
      <c r="B95">
        <v>2</v>
      </c>
      <c r="C95">
        <f>C94 + VLOOKUP(G95, Sheet1!$B$4:$C$13, 2, FALSE) + IF(H95="", 0, VLOOKUP(H95, Sheet1!$B$4:$C$13, 2, FALSE))</f>
        <v>32.708860759493625</v>
      </c>
      <c r="D95">
        <v>9</v>
      </c>
      <c r="G95" t="s">
        <v>18</v>
      </c>
    </row>
    <row r="96" spans="1:9">
      <c r="A96">
        <v>94</v>
      </c>
      <c r="B96">
        <v>0</v>
      </c>
      <c r="C96">
        <f>C95 + VLOOKUP(G96, Sheet1!$B$4:$C$13, 2, FALSE) + IF(H96="", 0, VLOOKUP(H96, Sheet1!$B$4:$C$13, 2, FALSE))</f>
        <v>33.278481012658183</v>
      </c>
      <c r="D96">
        <v>11</v>
      </c>
      <c r="G96" t="s">
        <v>22</v>
      </c>
    </row>
    <row r="97" spans="1:9">
      <c r="A97">
        <v>95</v>
      </c>
      <c r="B97">
        <v>0</v>
      </c>
      <c r="C97">
        <f>C96 + VLOOKUP(G97, Sheet1!$B$4:$C$13, 2, FALSE) + IF(H97="", 0, VLOOKUP(H97, Sheet1!$B$4:$C$13, 2, FALSE))</f>
        <v>33.468354430379705</v>
      </c>
      <c r="D97">
        <v>11</v>
      </c>
      <c r="G97" t="s">
        <v>19</v>
      </c>
      <c r="I97" t="s">
        <v>40</v>
      </c>
    </row>
    <row r="98" spans="1:9">
      <c r="A98">
        <v>96</v>
      </c>
      <c r="B98">
        <v>0</v>
      </c>
      <c r="C98">
        <f>C97 + VLOOKUP(G98, Sheet1!$B$4:$C$13, 2, FALSE) + IF(H98="", 0, VLOOKUP(H98, Sheet1!$B$4:$C$13, 2, FALSE))</f>
        <v>33.658227848101227</v>
      </c>
      <c r="D98">
        <v>11</v>
      </c>
      <c r="G98" t="s">
        <v>19</v>
      </c>
    </row>
    <row r="99" spans="1:9">
      <c r="A99">
        <v>97</v>
      </c>
      <c r="B99">
        <v>0</v>
      </c>
      <c r="C99">
        <f>C98 + VLOOKUP(G99, Sheet1!$B$4:$C$13, 2, FALSE) + IF(H99="", 0, VLOOKUP(H99, Sheet1!$B$4:$C$13, 2, FALSE))</f>
        <v>34.03797468354427</v>
      </c>
      <c r="D99">
        <v>11</v>
      </c>
      <c r="G99" t="s">
        <v>19</v>
      </c>
      <c r="H99" t="s">
        <v>19</v>
      </c>
    </row>
    <row r="100" spans="1:9">
      <c r="A100">
        <v>98</v>
      </c>
      <c r="B100">
        <v>0</v>
      </c>
      <c r="C100">
        <f>C99 + VLOOKUP(G100, Sheet1!$B$4:$C$13, 2, FALSE) + IF(H100="", 0, VLOOKUP(H100, Sheet1!$B$4:$C$13, 2, FALSE))</f>
        <v>34.227848101265792</v>
      </c>
      <c r="D100">
        <v>11</v>
      </c>
      <c r="G100" t="s">
        <v>19</v>
      </c>
    </row>
    <row r="101" spans="1:9">
      <c r="A101">
        <v>99</v>
      </c>
      <c r="B101">
        <v>0</v>
      </c>
      <c r="C101">
        <f>C100 + VLOOKUP(G101, Sheet1!$B$4:$C$13, 2, FALSE) + IF(H101="", 0, VLOOKUP(H101, Sheet1!$B$4:$C$13, 2, FALSE))</f>
        <v>34.607594936708836</v>
      </c>
      <c r="D101">
        <v>11</v>
      </c>
      <c r="G101" t="s">
        <v>19</v>
      </c>
      <c r="H101" t="s">
        <v>19</v>
      </c>
    </row>
    <row r="102" spans="1:9">
      <c r="A102">
        <v>100</v>
      </c>
      <c r="B102">
        <v>0</v>
      </c>
      <c r="C102">
        <f>C101 + VLOOKUP(G102, Sheet1!$B$4:$C$13, 2, FALSE) + IF(H102="", 0, VLOOKUP(H102, Sheet1!$B$4:$C$13, 2, FALSE))</f>
        <v>34.797468354430357</v>
      </c>
      <c r="D102">
        <v>11</v>
      </c>
      <c r="G102" t="s">
        <v>19</v>
      </c>
    </row>
    <row r="103" spans="1:9">
      <c r="A103">
        <v>101</v>
      </c>
      <c r="B103">
        <v>1</v>
      </c>
      <c r="C103">
        <f>C102 + VLOOKUP(G103, Sheet1!$B$4:$C$13, 2, FALSE) + IF(H103="", 0, VLOOKUP(H103, Sheet1!$B$4:$C$13, 2, FALSE))</f>
        <v>35.367088607594916</v>
      </c>
      <c r="D103">
        <v>5</v>
      </c>
      <c r="G103" t="s">
        <v>22</v>
      </c>
      <c r="I103" t="s">
        <v>41</v>
      </c>
    </row>
    <row r="104" spans="1:9">
      <c r="A104">
        <v>102</v>
      </c>
      <c r="B104">
        <v>1</v>
      </c>
      <c r="C104">
        <f>C103 + VLOOKUP(G104, Sheet1!$B$4:$C$13, 2, FALSE) + IF(H104="", 0, VLOOKUP(H104, Sheet1!$B$4:$C$13, 2, FALSE))</f>
        <v>35.556962025316437</v>
      </c>
      <c r="D104">
        <v>6</v>
      </c>
      <c r="G104" t="s">
        <v>19</v>
      </c>
    </row>
    <row r="105" spans="1:9">
      <c r="A105">
        <v>103</v>
      </c>
      <c r="B105">
        <v>2</v>
      </c>
      <c r="C105">
        <f>C104 + VLOOKUP(G105, Sheet1!$B$4:$C$13, 2, FALSE) + IF(H105="", 0, VLOOKUP(H105, Sheet1!$B$4:$C$13, 2, FALSE))</f>
        <v>35.936708860759474</v>
      </c>
      <c r="D105">
        <v>8</v>
      </c>
      <c r="G105" t="s">
        <v>18</v>
      </c>
    </row>
    <row r="106" spans="1:9">
      <c r="A106">
        <v>104</v>
      </c>
      <c r="B106">
        <v>2</v>
      </c>
      <c r="C106">
        <f>C105 + VLOOKUP(G106, Sheet1!$B$4:$C$13, 2, FALSE) + IF(H106="", 0, VLOOKUP(H106, Sheet1!$B$4:$C$13, 2, FALSE))</f>
        <v>36.221518987341753</v>
      </c>
      <c r="D106">
        <v>8</v>
      </c>
      <c r="G106" t="s">
        <v>23</v>
      </c>
    </row>
    <row r="107" spans="1:9">
      <c r="A107">
        <v>105</v>
      </c>
      <c r="B107">
        <v>2</v>
      </c>
      <c r="C107">
        <f>C106 + VLOOKUP(G107, Sheet1!$B$4:$C$13, 2, FALSE) + IF(H107="", 0, VLOOKUP(H107, Sheet1!$B$4:$C$13, 2, FALSE))</f>
        <v>36.601265822784789</v>
      </c>
      <c r="D107">
        <v>8</v>
      </c>
      <c r="G107" t="s">
        <v>18</v>
      </c>
    </row>
    <row r="108" spans="1:9">
      <c r="A108">
        <v>106</v>
      </c>
      <c r="B108">
        <v>2</v>
      </c>
      <c r="C108">
        <f>C107 + VLOOKUP(G108, Sheet1!$B$4:$C$13, 2, FALSE) + IF(H108="", 0, VLOOKUP(H108, Sheet1!$B$4:$C$13, 2, FALSE))</f>
        <v>36.981012658227826</v>
      </c>
      <c r="D108">
        <v>8</v>
      </c>
      <c r="G108" t="s">
        <v>18</v>
      </c>
    </row>
    <row r="109" spans="1:9">
      <c r="A109">
        <v>107</v>
      </c>
      <c r="B109">
        <v>2</v>
      </c>
      <c r="C109">
        <f>C108 + VLOOKUP(G109, Sheet1!$B$4:$C$13, 2, FALSE) + IF(H109="", 0, VLOOKUP(H109, Sheet1!$B$4:$C$13, 2, FALSE))</f>
        <v>37.360759493670862</v>
      </c>
      <c r="D109">
        <v>8</v>
      </c>
      <c r="G109" t="s">
        <v>18</v>
      </c>
    </row>
    <row r="110" spans="1:9">
      <c r="A110">
        <v>108</v>
      </c>
      <c r="B110">
        <v>1</v>
      </c>
      <c r="C110">
        <f>C109 + VLOOKUP(G110, Sheet1!$B$4:$C$13, 2, FALSE) + IF(H110="", 0, VLOOKUP(H110, Sheet1!$B$4:$C$13, 2, FALSE))</f>
        <v>37.645569620253141</v>
      </c>
      <c r="D110">
        <v>1</v>
      </c>
      <c r="G110" t="s">
        <v>23</v>
      </c>
    </row>
    <row r="111" spans="1:9">
      <c r="A111">
        <v>109</v>
      </c>
      <c r="B111">
        <v>1</v>
      </c>
      <c r="C111">
        <f>C110 + VLOOKUP(G111, Sheet1!$B$4:$C$13, 2, FALSE) + IF(H111="", 0, VLOOKUP(H111, Sheet1!$B$4:$C$13, 2, FALSE))</f>
        <v>37.835443037974663</v>
      </c>
      <c r="D111">
        <v>1</v>
      </c>
      <c r="G111" t="s">
        <v>19</v>
      </c>
    </row>
    <row r="112" spans="1:9">
      <c r="A112">
        <v>110</v>
      </c>
      <c r="B112">
        <v>1</v>
      </c>
      <c r="C112">
        <f>C111 + VLOOKUP(G112, Sheet1!$B$4:$C$13, 2, FALSE) + IF(H112="", 0, VLOOKUP(H112, Sheet1!$B$4:$C$13, 2, FALSE))</f>
        <v>38.405063291139221</v>
      </c>
      <c r="D112">
        <v>1</v>
      </c>
      <c r="G112" t="s">
        <v>18</v>
      </c>
      <c r="H112" t="s">
        <v>19</v>
      </c>
      <c r="I112" t="s">
        <v>43</v>
      </c>
    </row>
    <row r="113" spans="1:9">
      <c r="A113">
        <v>111</v>
      </c>
      <c r="B113">
        <v>1</v>
      </c>
      <c r="C113">
        <f>C112 + VLOOKUP(G113, Sheet1!$B$4:$C$13, 2, FALSE) + IF(H113="", 0, VLOOKUP(H113, Sheet1!$B$4:$C$13, 2, FALSE))</f>
        <v>38.594936708860743</v>
      </c>
      <c r="D113">
        <v>8</v>
      </c>
      <c r="G113" t="s">
        <v>19</v>
      </c>
    </row>
    <row r="114" spans="1:9">
      <c r="A114">
        <v>112</v>
      </c>
      <c r="B114">
        <v>1</v>
      </c>
      <c r="C114">
        <f>C113 + VLOOKUP(G114, Sheet1!$B$4:$C$13, 2, FALSE) + IF(H114="", 0, VLOOKUP(H114, Sheet1!$B$4:$C$13, 2, FALSE))</f>
        <v>38.784810126582265</v>
      </c>
      <c r="D114">
        <v>6</v>
      </c>
      <c r="G114" t="s">
        <v>19</v>
      </c>
    </row>
    <row r="115" spans="1:9">
      <c r="A115">
        <v>113</v>
      </c>
      <c r="B115">
        <v>1</v>
      </c>
      <c r="C115">
        <f>C114 + VLOOKUP(G115, Sheet1!$B$4:$C$13, 2, FALSE) + IF(H115="", 0, VLOOKUP(H115, Sheet1!$B$4:$C$13, 2, FALSE))</f>
        <v>38.974683544303787</v>
      </c>
      <c r="D115">
        <v>5</v>
      </c>
      <c r="G115" t="s">
        <v>19</v>
      </c>
    </row>
    <row r="116" spans="1:9">
      <c r="A116">
        <v>114</v>
      </c>
      <c r="B116">
        <v>1</v>
      </c>
      <c r="C116">
        <f>C115 + VLOOKUP(G116, Sheet1!$B$4:$C$13, 2, FALSE) + IF(H116="", 0, VLOOKUP(H116, Sheet1!$B$4:$C$13, 2, FALSE))</f>
        <v>39.354430379746823</v>
      </c>
      <c r="D116">
        <v>6</v>
      </c>
      <c r="G116" t="s">
        <v>18</v>
      </c>
    </row>
    <row r="117" spans="1:9">
      <c r="A117">
        <v>115</v>
      </c>
      <c r="B117">
        <v>1</v>
      </c>
      <c r="C117">
        <f>C116 + VLOOKUP(G117, Sheet1!$B$4:$C$13, 2, FALSE) + IF(H117="", 0, VLOOKUP(H117, Sheet1!$B$4:$C$13, 2, FALSE))</f>
        <v>39.544303797468345</v>
      </c>
      <c r="D117">
        <v>5</v>
      </c>
      <c r="G117" t="s">
        <v>19</v>
      </c>
    </row>
    <row r="118" spans="1:9">
      <c r="A118">
        <v>116</v>
      </c>
      <c r="B118">
        <v>3</v>
      </c>
      <c r="C118">
        <f>C117 + VLOOKUP(G118, Sheet1!$B$4:$C$13, 2, FALSE) + IF(H118="", 0, VLOOKUP(H118, Sheet1!$B$4:$C$13, 2, FALSE))</f>
        <v>39.924050632911381</v>
      </c>
      <c r="D118">
        <v>0</v>
      </c>
      <c r="G118" t="s">
        <v>18</v>
      </c>
      <c r="I118" t="s">
        <v>42</v>
      </c>
    </row>
    <row r="119" spans="1:9">
      <c r="A119">
        <v>117</v>
      </c>
      <c r="B119">
        <v>3</v>
      </c>
      <c r="C119">
        <f>C118 + VLOOKUP(G119, Sheet1!$B$4:$C$13, 2, FALSE) + IF(H119="", 0, VLOOKUP(H119, Sheet1!$B$4:$C$13, 2, FALSE))</f>
        <v>40.113924050632903</v>
      </c>
      <c r="D119">
        <v>0</v>
      </c>
      <c r="G119" t="s">
        <v>19</v>
      </c>
    </row>
    <row r="120" spans="1:9">
      <c r="A120">
        <v>118</v>
      </c>
      <c r="B120">
        <v>3</v>
      </c>
      <c r="C120">
        <f>C119 + VLOOKUP(G120, Sheet1!$B$4:$C$13, 2, FALSE) + IF(H120="", 0, VLOOKUP(H120, Sheet1!$B$4:$C$13, 2, FALSE))</f>
        <v>40.49367088607594</v>
      </c>
      <c r="D120">
        <v>1</v>
      </c>
      <c r="G120" t="s">
        <v>18</v>
      </c>
    </row>
    <row r="121" spans="1:9">
      <c r="A121">
        <v>119</v>
      </c>
      <c r="B121">
        <v>3</v>
      </c>
      <c r="C121">
        <f>C120 + VLOOKUP(G121, Sheet1!$B$4:$C$13, 2, FALSE) + IF(H121="", 0, VLOOKUP(H121, Sheet1!$B$4:$C$13, 2, FALSE))</f>
        <v>40.873417721518976</v>
      </c>
      <c r="D121">
        <v>3</v>
      </c>
      <c r="G121" t="s">
        <v>18</v>
      </c>
    </row>
    <row r="122" spans="1:9">
      <c r="A122">
        <v>120</v>
      </c>
      <c r="B122">
        <v>3</v>
      </c>
      <c r="C122">
        <f>C121 + VLOOKUP(G122, Sheet1!$B$4:$C$13, 2, FALSE) + IF(H122="", 0, VLOOKUP(H122, Sheet1!$B$4:$C$13, 2, FALSE))</f>
        <v>41.253164556962012</v>
      </c>
      <c r="D122">
        <v>1</v>
      </c>
      <c r="G122" t="s">
        <v>18</v>
      </c>
    </row>
    <row r="123" spans="1:9">
      <c r="B123">
        <v>2</v>
      </c>
      <c r="C123">
        <f>C122 + VLOOKUP(G123, Sheet1!$B$4:$C$13, 2, FALSE) + IF(H123="", 0, VLOOKUP(H123, Sheet1!$B$4:$C$13, 2, FALSE))</f>
        <v>42.012658227848085</v>
      </c>
      <c r="D123">
        <v>10</v>
      </c>
      <c r="G123" t="s">
        <v>17</v>
      </c>
      <c r="I123" t="s">
        <v>44</v>
      </c>
    </row>
    <row r="124" spans="1:9">
      <c r="B124">
        <v>3</v>
      </c>
      <c r="C124">
        <f>C123 + VLOOKUP(G124, Sheet1!$B$4:$C$13, 2, FALSE) + IF(H124="", 0, VLOOKUP(H124, Sheet1!$B$4:$C$13, 2, FALSE))</f>
        <v>42.202531645569607</v>
      </c>
      <c r="D124">
        <v>0</v>
      </c>
      <c r="G124" t="s">
        <v>19</v>
      </c>
    </row>
    <row r="125" spans="1:9">
      <c r="B125">
        <v>3</v>
      </c>
      <c r="C125">
        <f>C124 + VLOOKUP(G125, Sheet1!$B$4:$C$13, 2, FALSE) + IF(H125="", 0, VLOOKUP(H125, Sheet1!$B$4:$C$13, 2, FALSE))</f>
        <v>42.392405063291129</v>
      </c>
      <c r="D125">
        <v>1</v>
      </c>
      <c r="G125" t="s">
        <v>19</v>
      </c>
    </row>
    <row r="126" spans="1:9">
      <c r="B126">
        <v>3</v>
      </c>
      <c r="C126">
        <f>C125 + VLOOKUP(G126, Sheet1!$B$4:$C$13, 2, FALSE) + IF(H126="", 0, VLOOKUP(H126, Sheet1!$B$4:$C$13, 2, FALSE))</f>
        <v>42.772151898734165</v>
      </c>
      <c r="D126">
        <v>0</v>
      </c>
      <c r="G126" t="s">
        <v>18</v>
      </c>
    </row>
    <row r="127" spans="1:9">
      <c r="B127">
        <v>1</v>
      </c>
      <c r="C127">
        <f>C126 + VLOOKUP(G127, Sheet1!$B$4:$C$13, 2, FALSE) + IF(H127="", 0, VLOOKUP(H127, Sheet1!$B$4:$C$13, 2, FALSE))</f>
        <v>42.962025316455687</v>
      </c>
      <c r="D127">
        <v>10</v>
      </c>
      <c r="G127" t="s">
        <v>19</v>
      </c>
    </row>
    <row r="128" spans="1:9">
      <c r="B128">
        <v>3</v>
      </c>
      <c r="C128">
        <f>C127 + VLOOKUP(G128, Sheet1!$B$4:$C$13, 2, FALSE) + IF(H128="", 0, VLOOKUP(H128, Sheet1!$B$4:$C$13, 2, FALSE))</f>
        <v>43.341772151898724</v>
      </c>
      <c r="D128">
        <v>0</v>
      </c>
      <c r="G128" t="s">
        <v>18</v>
      </c>
    </row>
    <row r="129" spans="2:9">
      <c r="B129">
        <v>3</v>
      </c>
      <c r="C129">
        <f>C128 + VLOOKUP(G129, Sheet1!$B$4:$C$13, 2, FALSE) + IF(H129="", 0, VLOOKUP(H129, Sheet1!$B$4:$C$13, 2, FALSE))</f>
        <v>43.531645569620245</v>
      </c>
      <c r="D129">
        <v>0</v>
      </c>
      <c r="G129" t="s">
        <v>19</v>
      </c>
    </row>
    <row r="130" spans="2:9">
      <c r="B130">
        <v>3</v>
      </c>
      <c r="C130">
        <f>C129 + VLOOKUP(G130, Sheet1!$B$4:$C$13, 2, FALSE) + IF(H130="", 0, VLOOKUP(H130, Sheet1!$B$4:$C$13, 2, FALSE))</f>
        <v>43.721518987341767</v>
      </c>
      <c r="D130">
        <v>1</v>
      </c>
      <c r="G130" t="s">
        <v>19</v>
      </c>
    </row>
    <row r="131" spans="2:9">
      <c r="B131">
        <v>3</v>
      </c>
      <c r="C131">
        <f>C130 + VLOOKUP(G131, Sheet1!$B$4:$C$13, 2, FALSE) + IF(H131="", 0, VLOOKUP(H131, Sheet1!$B$4:$C$13, 2, FALSE))</f>
        <v>43.911392405063289</v>
      </c>
      <c r="D131">
        <v>3</v>
      </c>
      <c r="G131" t="s">
        <v>19</v>
      </c>
    </row>
    <row r="132" spans="2:9">
      <c r="B132">
        <v>3</v>
      </c>
      <c r="C132">
        <f>C131 + VLOOKUP(G132, Sheet1!$B$4:$C$13, 2, FALSE) + IF(H132="", 0, VLOOKUP(H132, Sheet1!$B$4:$C$13, 2, FALSE))</f>
        <v>44.291139240506325</v>
      </c>
      <c r="D132">
        <v>1</v>
      </c>
      <c r="G132" t="s">
        <v>18</v>
      </c>
    </row>
    <row r="133" spans="2:9">
      <c r="B133">
        <v>2</v>
      </c>
      <c r="C133">
        <f>C132 + VLOOKUP(G133, Sheet1!$B$4:$C$13, 2, FALSE) + IF(H133="", 0, VLOOKUP(H133, Sheet1!$B$4:$C$13, 2, FALSE))</f>
        <v>44.860759493670884</v>
      </c>
      <c r="D133">
        <v>5</v>
      </c>
      <c r="G133" t="s">
        <v>22</v>
      </c>
      <c r="I133" t="s">
        <v>45</v>
      </c>
    </row>
    <row r="134" spans="2:9">
      <c r="B134">
        <v>2</v>
      </c>
      <c r="C134">
        <f>C133 + VLOOKUP(G134, Sheet1!$B$4:$C$13, 2, FALSE) + IF(H134="", 0, VLOOKUP(H134, Sheet1!$B$4:$C$13, 2, FALSE))</f>
        <v>45.050632911392405</v>
      </c>
      <c r="D134">
        <v>11</v>
      </c>
      <c r="G134" t="s">
        <v>19</v>
      </c>
    </row>
    <row r="135" spans="2:9">
      <c r="B135">
        <v>2</v>
      </c>
      <c r="C135">
        <f>C134 + VLOOKUP(G135, Sheet1!$B$4:$C$13, 2, FALSE) + IF(H135="", 0, VLOOKUP(H135, Sheet1!$B$4:$C$13, 2, FALSE))</f>
        <v>45.240506329113927</v>
      </c>
      <c r="D135">
        <v>10</v>
      </c>
      <c r="G135" t="s">
        <v>19</v>
      </c>
    </row>
    <row r="136" spans="2:9">
      <c r="B136">
        <v>2</v>
      </c>
      <c r="C136">
        <f>C135 + VLOOKUP(G136, Sheet1!$B$4:$C$13, 2, FALSE) + IF(H136="", 0, VLOOKUP(H136, Sheet1!$B$4:$C$13, 2, FALSE))</f>
        <v>45.620253164556964</v>
      </c>
      <c r="D136">
        <v>6</v>
      </c>
      <c r="G136" t="s">
        <v>18</v>
      </c>
    </row>
    <row r="137" spans="2:9">
      <c r="B137">
        <v>2</v>
      </c>
      <c r="C137">
        <f>C136 + VLOOKUP(G137, Sheet1!$B$4:$C$13, 2, FALSE) + IF(H137="", 0, VLOOKUP(H137, Sheet1!$B$4:$C$13, 2, FALSE))</f>
        <v>46.189873417721522</v>
      </c>
      <c r="D137">
        <v>8</v>
      </c>
      <c r="G137" t="s">
        <v>18</v>
      </c>
      <c r="H137" t="s">
        <v>19</v>
      </c>
    </row>
    <row r="138" spans="2:9">
      <c r="B138">
        <v>2</v>
      </c>
      <c r="C138">
        <f>C137 + VLOOKUP(G138, Sheet1!$B$4:$C$13, 2, FALSE) + IF(H138="", 0, VLOOKUP(H138, Sheet1!$B$4:$C$13, 2, FALSE))</f>
        <v>46.569620253164558</v>
      </c>
      <c r="D138">
        <v>10</v>
      </c>
      <c r="G138" t="s">
        <v>18</v>
      </c>
    </row>
    <row r="139" spans="2:9">
      <c r="B139">
        <v>2</v>
      </c>
      <c r="C139">
        <f>C138 + VLOOKUP(G139, Sheet1!$B$4:$C$13, 2, FALSE) + IF(H139="", 0, VLOOKUP(H139, Sheet1!$B$4:$C$13, 2, FALSE))</f>
        <v>46.75949367088608</v>
      </c>
      <c r="D139">
        <v>8</v>
      </c>
      <c r="G139" t="s">
        <v>19</v>
      </c>
    </row>
    <row r="140" spans="2:9">
      <c r="B140">
        <v>1</v>
      </c>
      <c r="C140">
        <f>C139 + VLOOKUP(G140, Sheet1!$B$4:$C$13, 2, FALSE) + IF(H140="", 0, VLOOKUP(H140, Sheet1!$B$4:$C$13, 2, FALSE))</f>
        <v>47.518987341772153</v>
      </c>
      <c r="D140">
        <v>5</v>
      </c>
      <c r="G140" t="s">
        <v>17</v>
      </c>
      <c r="I140" t="s">
        <v>46</v>
      </c>
    </row>
    <row r="141" spans="2:9">
      <c r="B141">
        <v>1</v>
      </c>
      <c r="C141">
        <f>C140 + VLOOKUP(G141, Sheet1!$B$4:$C$13, 2, FALSE) + IF(H141="", 0, VLOOKUP(H141, Sheet1!$B$4:$C$13, 2, FALSE))</f>
        <v>47.708860759493675</v>
      </c>
      <c r="D141">
        <v>6</v>
      </c>
      <c r="G141" t="s">
        <v>19</v>
      </c>
    </row>
    <row r="142" spans="2:9">
      <c r="B142">
        <v>2</v>
      </c>
      <c r="C142">
        <f>C141 + VLOOKUP(G142, Sheet1!$B$4:$C$13, 2, FALSE) + IF(H142="", 0, VLOOKUP(H142, Sheet1!$B$4:$C$13, 2, FALSE))</f>
        <v>48.088607594936711</v>
      </c>
      <c r="D142">
        <v>8</v>
      </c>
      <c r="G142" t="s">
        <v>18</v>
      </c>
    </row>
    <row r="143" spans="2:9">
      <c r="B143">
        <v>2</v>
      </c>
      <c r="C143">
        <f>C142 + VLOOKUP(G143, Sheet1!$B$4:$C$13, 2, FALSE) + IF(H143="", 0, VLOOKUP(H143, Sheet1!$B$4:$C$13, 2, FALSE))</f>
        <v>48.37341772151899</v>
      </c>
      <c r="D143">
        <v>8</v>
      </c>
      <c r="G143" t="s">
        <v>23</v>
      </c>
    </row>
    <row r="144" spans="2:9">
      <c r="B144">
        <v>2</v>
      </c>
      <c r="C144">
        <f>C143 + VLOOKUP(G144, Sheet1!$B$4:$C$13, 2, FALSE) + IF(H144="", 0, VLOOKUP(H144, Sheet1!$B$4:$C$13, 2, FALSE))</f>
        <v>48.753164556962027</v>
      </c>
      <c r="D144">
        <v>8</v>
      </c>
      <c r="G144" t="s">
        <v>18</v>
      </c>
    </row>
    <row r="145" spans="2:9">
      <c r="B145">
        <v>2</v>
      </c>
      <c r="C145">
        <f>C144 + VLOOKUP(G145, Sheet1!$B$4:$C$13, 2, FALSE) + IF(H145="", 0, VLOOKUP(H145, Sheet1!$B$4:$C$13, 2, FALSE))</f>
        <v>49.132911392405063</v>
      </c>
      <c r="D145">
        <v>8</v>
      </c>
      <c r="G145" t="s">
        <v>18</v>
      </c>
    </row>
    <row r="146" spans="2:9">
      <c r="B146">
        <v>2</v>
      </c>
      <c r="C146">
        <f>C145 + VLOOKUP(G146, Sheet1!$B$4:$C$13, 2, FALSE) + IF(H146="", 0, VLOOKUP(H146, Sheet1!$B$4:$C$13, 2, FALSE))</f>
        <v>49.5126582278481</v>
      </c>
      <c r="D146">
        <v>8</v>
      </c>
      <c r="G146" t="s">
        <v>18</v>
      </c>
    </row>
    <row r="147" spans="2:9">
      <c r="B147">
        <v>1</v>
      </c>
      <c r="C147">
        <f>C146 + VLOOKUP(G147, Sheet1!$B$4:$C$13, 2, FALSE) + IF(H147="", 0, VLOOKUP(H147, Sheet1!$B$4:$C$13, 2, FALSE))</f>
        <v>49.797468354430379</v>
      </c>
      <c r="D147">
        <v>1</v>
      </c>
      <c r="G147" t="s">
        <v>23</v>
      </c>
    </row>
    <row r="148" spans="2:9">
      <c r="B148">
        <v>1</v>
      </c>
      <c r="C148">
        <f>C147 + VLOOKUP(G148, Sheet1!$B$4:$C$13, 2, FALSE) + IF(H148="", 0, VLOOKUP(H148, Sheet1!$B$4:$C$13, 2, FALSE))</f>
        <v>49.9873417721519</v>
      </c>
      <c r="D148">
        <v>1</v>
      </c>
      <c r="G148" t="s">
        <v>19</v>
      </c>
    </row>
    <row r="149" spans="2:9">
      <c r="B149">
        <v>1</v>
      </c>
      <c r="C149">
        <f>C148 + VLOOKUP(G149, Sheet1!$B$4:$C$13, 2, FALSE) + IF(H149="", 0, VLOOKUP(H149, Sheet1!$B$4:$C$13, 2, FALSE))</f>
        <v>50.556962025316459</v>
      </c>
      <c r="D149">
        <v>1</v>
      </c>
      <c r="G149" t="s">
        <v>18</v>
      </c>
      <c r="H149" t="s">
        <v>19</v>
      </c>
      <c r="I149" t="s">
        <v>47</v>
      </c>
    </row>
    <row r="150" spans="2:9">
      <c r="B150">
        <v>1</v>
      </c>
      <c r="C150">
        <f>C149 + VLOOKUP(G150, Sheet1!$B$4:$C$13, 2, FALSE) + IF(H150="", 0, VLOOKUP(H150, Sheet1!$B$4:$C$13, 2, FALSE))</f>
        <v>50.74683544303798</v>
      </c>
      <c r="D150">
        <v>8</v>
      </c>
      <c r="G150" t="s">
        <v>19</v>
      </c>
    </row>
    <row r="151" spans="2:9">
      <c r="B151">
        <v>1</v>
      </c>
      <c r="C151">
        <f>C150 + VLOOKUP(G151, Sheet1!$B$4:$C$13, 2, FALSE) + IF(H151="", 0, VLOOKUP(H151, Sheet1!$B$4:$C$13, 2, FALSE))</f>
        <v>50.936708860759502</v>
      </c>
      <c r="D151">
        <v>6</v>
      </c>
      <c r="G151" t="s">
        <v>19</v>
      </c>
    </row>
    <row r="152" spans="2:9">
      <c r="B152">
        <v>1</v>
      </c>
      <c r="C152">
        <f>C151 + VLOOKUP(G152, Sheet1!$B$4:$C$13, 2, FALSE) + IF(H152="", 0, VLOOKUP(H152, Sheet1!$B$4:$C$13, 2, FALSE))</f>
        <v>51.126582278481024</v>
      </c>
      <c r="D152">
        <v>5</v>
      </c>
      <c r="G152" t="s">
        <v>19</v>
      </c>
    </row>
    <row r="153" spans="2:9">
      <c r="B153">
        <v>1</v>
      </c>
      <c r="C153">
        <f>C152 + VLOOKUP(G153, Sheet1!$B$4:$C$13, 2, FALSE) + IF(H153="", 0, VLOOKUP(H153, Sheet1!$B$4:$C$13, 2, FALSE))</f>
        <v>51.50632911392406</v>
      </c>
      <c r="D153">
        <v>6</v>
      </c>
      <c r="G153" t="s">
        <v>18</v>
      </c>
    </row>
    <row r="154" spans="2:9">
      <c r="B154">
        <v>1</v>
      </c>
      <c r="C154">
        <f>C153 + VLOOKUP(G154, Sheet1!$B$4:$C$13, 2, FALSE) + IF(H154="", 0, VLOOKUP(H154, Sheet1!$B$4:$C$13, 2, FALSE))</f>
        <v>51.696202531645582</v>
      </c>
      <c r="D154">
        <v>5</v>
      </c>
      <c r="G154" t="s">
        <v>19</v>
      </c>
    </row>
    <row r="155" spans="2:9">
      <c r="B155">
        <v>3</v>
      </c>
      <c r="C155">
        <f>C154 + VLOOKUP(G155, Sheet1!$B$4:$C$13, 2, FALSE) + IF(H155="", 0, VLOOKUP(H155, Sheet1!$B$4:$C$13, 2, FALSE))</f>
        <v>52.075949367088619</v>
      </c>
      <c r="D155">
        <v>0</v>
      </c>
      <c r="G155" t="s">
        <v>18</v>
      </c>
    </row>
    <row r="156" spans="2:9">
      <c r="B156">
        <v>3</v>
      </c>
      <c r="C156">
        <f>C155 + VLOOKUP(G156, Sheet1!$B$4:$C$13, 2, FALSE) + IF(H156="", 0, VLOOKUP(H156, Sheet1!$B$4:$C$13, 2, FALSE))</f>
        <v>52.26582278481014</v>
      </c>
      <c r="D156">
        <v>0</v>
      </c>
      <c r="G156" t="s">
        <v>19</v>
      </c>
    </row>
    <row r="157" spans="2:9">
      <c r="B157">
        <v>3</v>
      </c>
      <c r="C157">
        <f>C156 + VLOOKUP(G157, Sheet1!$B$4:$C$13, 2, FALSE) + IF(H157="", 0, VLOOKUP(H157, Sheet1!$B$4:$C$13, 2, FALSE))</f>
        <v>52.645569620253177</v>
      </c>
      <c r="D157">
        <v>10</v>
      </c>
      <c r="G157" t="s">
        <v>18</v>
      </c>
    </row>
    <row r="158" spans="2:9">
      <c r="B158">
        <v>3</v>
      </c>
      <c r="C158">
        <f>C157 + VLOOKUP(G158, Sheet1!$B$4:$C$13, 2, FALSE) + IF(H158="", 0, VLOOKUP(H158, Sheet1!$B$4:$C$13, 2, FALSE))</f>
        <v>53.025316455696213</v>
      </c>
      <c r="D158">
        <v>0</v>
      </c>
      <c r="G158" t="s">
        <v>18</v>
      </c>
    </row>
    <row r="159" spans="2:9">
      <c r="B159">
        <v>3</v>
      </c>
      <c r="C159">
        <f>C158 + VLOOKUP(G159, Sheet1!$B$4:$C$13, 2, FALSE) + IF(H159="", 0, VLOOKUP(H159, Sheet1!$B$4:$C$13, 2, FALSE))</f>
        <v>53.40506329113925</v>
      </c>
      <c r="D159">
        <v>1</v>
      </c>
      <c r="G159" t="s">
        <v>18</v>
      </c>
    </row>
    <row r="160" spans="2:9">
      <c r="B160">
        <v>2</v>
      </c>
      <c r="C160">
        <f>C159 + VLOOKUP(G160, Sheet1!$B$4:$C$13, 2, FALSE) + IF(H160="", 0, VLOOKUP(H160, Sheet1!$B$4:$C$13, 2, FALSE))</f>
        <v>53.974683544303808</v>
      </c>
      <c r="D160">
        <v>10</v>
      </c>
      <c r="G160" t="s">
        <v>18</v>
      </c>
      <c r="H160" t="s">
        <v>19</v>
      </c>
      <c r="I160" t="s">
        <v>48</v>
      </c>
    </row>
    <row r="161" spans="2:9">
      <c r="B161">
        <v>3</v>
      </c>
      <c r="C161">
        <f>C160 + VLOOKUP(G161, Sheet1!$B$4:$C$13, 2, FALSE) + IF(H161="", 0, VLOOKUP(H161, Sheet1!$B$4:$C$13, 2, FALSE))</f>
        <v>54.16455696202533</v>
      </c>
      <c r="D161">
        <v>0</v>
      </c>
      <c r="G161" t="s">
        <v>19</v>
      </c>
    </row>
    <row r="162" spans="2:9">
      <c r="B162">
        <v>3</v>
      </c>
      <c r="C162">
        <f>C161 + VLOOKUP(G162, Sheet1!$B$4:$C$13, 2, FALSE) + IF(H162="", 0, VLOOKUP(H162, Sheet1!$B$4:$C$13, 2, FALSE))</f>
        <v>54.354430379746852</v>
      </c>
      <c r="D162">
        <v>1</v>
      </c>
      <c r="G162" t="s">
        <v>19</v>
      </c>
    </row>
    <row r="163" spans="2:9">
      <c r="B163">
        <v>3</v>
      </c>
      <c r="C163">
        <f>C162 + VLOOKUP(G163, Sheet1!$B$4:$C$13, 2, FALSE) + IF(H163="", 0, VLOOKUP(H163, Sheet1!$B$4:$C$13, 2, FALSE))</f>
        <v>54.734177215189888</v>
      </c>
      <c r="D163">
        <v>0</v>
      </c>
      <c r="G163" t="s">
        <v>18</v>
      </c>
    </row>
    <row r="164" spans="2:9">
      <c r="B164">
        <v>1</v>
      </c>
      <c r="C164">
        <f>C163 + VLOOKUP(G164, Sheet1!$B$4:$C$13, 2, FALSE) + IF(H164="", 0, VLOOKUP(H164, Sheet1!$B$4:$C$13, 2, FALSE))</f>
        <v>54.92405063291141</v>
      </c>
      <c r="D164">
        <v>10</v>
      </c>
      <c r="G164" t="s">
        <v>19</v>
      </c>
    </row>
    <row r="165" spans="2:9">
      <c r="B165">
        <v>3</v>
      </c>
      <c r="C165">
        <f>C164 + VLOOKUP(G165, Sheet1!$B$4:$C$13, 2, FALSE) + IF(H165="", 0, VLOOKUP(H165, Sheet1!$B$4:$C$13, 2, FALSE))</f>
        <v>55.303797468354446</v>
      </c>
      <c r="D165">
        <v>0</v>
      </c>
      <c r="G165" t="s">
        <v>18</v>
      </c>
    </row>
    <row r="166" spans="2:9">
      <c r="B166">
        <v>3</v>
      </c>
      <c r="C166">
        <f>C165 + VLOOKUP(G166, Sheet1!$B$4:$C$13, 2, FALSE) + IF(H166="", 0, VLOOKUP(H166, Sheet1!$B$4:$C$13, 2, FALSE))</f>
        <v>55.493670886075968</v>
      </c>
      <c r="D166">
        <v>0</v>
      </c>
      <c r="G166" t="s">
        <v>19</v>
      </c>
    </row>
    <row r="167" spans="2:9">
      <c r="B167">
        <v>3</v>
      </c>
      <c r="C167">
        <f>C166 + VLOOKUP(G167, Sheet1!$B$4:$C$13, 2, FALSE) + IF(H167="", 0, VLOOKUP(H167, Sheet1!$B$4:$C$13, 2, FALSE))</f>
        <v>55.68354430379749</v>
      </c>
      <c r="D167">
        <v>1</v>
      </c>
      <c r="G167" t="s">
        <v>19</v>
      </c>
    </row>
    <row r="168" spans="2:9">
      <c r="B168">
        <v>3</v>
      </c>
      <c r="C168">
        <f>C167 + VLOOKUP(G168, Sheet1!$B$4:$C$13, 2, FALSE) + IF(H168="", 0, VLOOKUP(H168, Sheet1!$B$4:$C$13, 2, FALSE))</f>
        <v>55.873417721519012</v>
      </c>
      <c r="D168">
        <v>3</v>
      </c>
      <c r="G168" t="s">
        <v>19</v>
      </c>
    </row>
    <row r="169" spans="2:9">
      <c r="B169">
        <v>3</v>
      </c>
      <c r="C169">
        <f>C168 + VLOOKUP(G169, Sheet1!$B$4:$C$13, 2, FALSE) + IF(H169="", 0, VLOOKUP(H169, Sheet1!$B$4:$C$13, 2, FALSE))</f>
        <v>56.253164556962048</v>
      </c>
      <c r="D169">
        <v>1</v>
      </c>
      <c r="G169" t="s">
        <v>18</v>
      </c>
    </row>
    <row r="170" spans="2:9">
      <c r="B170">
        <v>1</v>
      </c>
      <c r="C170">
        <f>C169 + VLOOKUP(G170, Sheet1!$B$4:$C$13, 2, FALSE) + IF(H170="", 0, VLOOKUP(H170, Sheet1!$B$4:$C$13, 2, FALSE))</f>
        <v>57.012658227848121</v>
      </c>
      <c r="D170">
        <v>5</v>
      </c>
      <c r="G170" t="s">
        <v>17</v>
      </c>
      <c r="I170" t="s">
        <v>49</v>
      </c>
    </row>
    <row r="171" spans="2:9">
      <c r="B171">
        <v>2</v>
      </c>
      <c r="C171">
        <f>C170 + VLOOKUP(G171, Sheet1!$B$4:$C$13, 2, FALSE) + IF(H171="", 0, VLOOKUP(H171, Sheet1!$B$4:$C$13, 2, FALSE))</f>
        <v>57.202531645569643</v>
      </c>
      <c r="D171">
        <v>6</v>
      </c>
      <c r="G171" t="s">
        <v>19</v>
      </c>
    </row>
    <row r="172" spans="2:9">
      <c r="B172">
        <v>1</v>
      </c>
      <c r="C172">
        <f>C171 + VLOOKUP(G172, Sheet1!$B$4:$C$13, 2, FALSE) + IF(H172="", 0, VLOOKUP(H172, Sheet1!$B$4:$C$13, 2, FALSE))</f>
        <v>57.772151898734201</v>
      </c>
      <c r="D172">
        <v>8</v>
      </c>
      <c r="G172" t="s">
        <v>18</v>
      </c>
      <c r="H172" t="s">
        <v>19</v>
      </c>
    </row>
    <row r="173" spans="2:9">
      <c r="B173">
        <v>1</v>
      </c>
      <c r="C173">
        <f>C172 + VLOOKUP(G173, Sheet1!$B$4:$C$13, 2, FALSE) + IF(H173="", 0, VLOOKUP(H173, Sheet1!$B$4:$C$13, 2, FALSE))</f>
        <v>58.151898734177237</v>
      </c>
      <c r="D173">
        <v>10</v>
      </c>
      <c r="G173" t="s">
        <v>18</v>
      </c>
    </row>
    <row r="174" spans="2:9">
      <c r="B174">
        <v>2</v>
      </c>
      <c r="C174">
        <f>C173 + VLOOKUP(G174, Sheet1!$B$4:$C$13, 2, FALSE) + IF(H174="", 0, VLOOKUP(H174, Sheet1!$B$4:$C$13, 2, FALSE))</f>
        <v>58.531645569620274</v>
      </c>
      <c r="D174">
        <v>9</v>
      </c>
      <c r="G174" t="s">
        <v>18</v>
      </c>
    </row>
    <row r="175" spans="2:9">
      <c r="B175">
        <v>2</v>
      </c>
      <c r="C175">
        <f>C174 + VLOOKUP(G175, Sheet1!$B$4:$C$13, 2, FALSE) + IF(H175="", 0, VLOOKUP(H175, Sheet1!$B$4:$C$13, 2, FALSE))</f>
        <v>58.91139240506331</v>
      </c>
      <c r="D175">
        <v>8</v>
      </c>
      <c r="G175" t="s">
        <v>18</v>
      </c>
    </row>
    <row r="176" spans="2:9">
      <c r="B176">
        <v>2</v>
      </c>
      <c r="C176">
        <f>C175 + VLOOKUP(G176, Sheet1!$B$4:$C$13, 2, FALSE) + IF(H176="", 0, VLOOKUP(H176, Sheet1!$B$4:$C$13, 2, FALSE))</f>
        <v>59.291139240506347</v>
      </c>
      <c r="D176">
        <v>6</v>
      </c>
      <c r="G176" t="s">
        <v>18</v>
      </c>
    </row>
    <row r="177" spans="2:9">
      <c r="B177">
        <v>1</v>
      </c>
      <c r="C177">
        <f>C176 + VLOOKUP(G177, Sheet1!$B$4:$C$13, 2, FALSE) + IF(H177="", 0, VLOOKUP(H177, Sheet1!$B$4:$C$13, 2, FALSE))</f>
        <v>60.145569620253184</v>
      </c>
      <c r="D177">
        <v>5</v>
      </c>
      <c r="G177" t="s">
        <v>22</v>
      </c>
      <c r="H177" t="s">
        <v>23</v>
      </c>
      <c r="I177" t="s">
        <v>50</v>
      </c>
    </row>
    <row r="178" spans="2:9">
      <c r="B178">
        <v>1</v>
      </c>
      <c r="C178">
        <f>C177 + VLOOKUP(G178, Sheet1!$B$4:$C$13, 2, FALSE) + IF(H178="", 0, VLOOKUP(H178, Sheet1!$B$4:$C$13, 2, FALSE))</f>
        <v>60.335443037974706</v>
      </c>
      <c r="D178">
        <v>8</v>
      </c>
      <c r="G178" t="s">
        <v>19</v>
      </c>
    </row>
    <row r="179" spans="2:9">
      <c r="B179">
        <v>3</v>
      </c>
      <c r="C179">
        <f>C178 + VLOOKUP(G179, Sheet1!$B$4:$C$13, 2, FALSE) + IF(H179="", 0, VLOOKUP(H179, Sheet1!$B$4:$C$13, 2, FALSE))</f>
        <v>60.715189873417742</v>
      </c>
      <c r="D179">
        <v>1</v>
      </c>
      <c r="G179" t="s">
        <v>18</v>
      </c>
    </row>
    <row r="180" spans="2:9">
      <c r="B180">
        <v>3</v>
      </c>
      <c r="C180">
        <f>C179 + VLOOKUP(G180, Sheet1!$B$4:$C$13, 2, FALSE) + IF(H180="", 0, VLOOKUP(H180, Sheet1!$B$4:$C$13, 2, FALSE))</f>
        <v>61.094936708860779</v>
      </c>
      <c r="D180">
        <v>0</v>
      </c>
      <c r="G180" t="s">
        <v>18</v>
      </c>
    </row>
    <row r="181" spans="2:9">
      <c r="B181">
        <v>3</v>
      </c>
      <c r="C181">
        <f>C180 + VLOOKUP(G181, Sheet1!$B$4:$C$13, 2, FALSE) + IF(H181="", 0, VLOOKUP(H181, Sheet1!$B$4:$C$13, 2, FALSE))</f>
        <v>61.474683544303815</v>
      </c>
      <c r="D181">
        <v>1</v>
      </c>
      <c r="G181" t="s">
        <v>18</v>
      </c>
    </row>
    <row r="182" spans="2:9">
      <c r="B182">
        <v>3</v>
      </c>
      <c r="C182">
        <f>C181 + VLOOKUP(G182, Sheet1!$B$4:$C$13, 2, FALSE) + IF(H182="", 0, VLOOKUP(H182, Sheet1!$B$4:$C$13, 2, FALSE))</f>
        <v>62.234177215189888</v>
      </c>
      <c r="D182">
        <v>0</v>
      </c>
      <c r="G182" t="s">
        <v>17</v>
      </c>
    </row>
    <row r="183" spans="2:9">
      <c r="B183">
        <v>3</v>
      </c>
      <c r="C183">
        <f>C182 + VLOOKUP(G183, Sheet1!$B$4:$C$13, 2, FALSE) + IF(H183="", 0, VLOOKUP(H183, Sheet1!$B$4:$C$13, 2, FALSE))</f>
        <v>62.613924050632924</v>
      </c>
      <c r="D183">
        <v>0</v>
      </c>
      <c r="G183" t="s">
        <v>18</v>
      </c>
    </row>
    <row r="184" spans="2:9">
      <c r="B184">
        <v>3</v>
      </c>
      <c r="C184">
        <f>C183 + VLOOKUP(G184, Sheet1!$B$4:$C$13, 2, FALSE) + IF(H184="", 0, VLOOKUP(H184, Sheet1!$B$4:$C$13, 2, FALSE))</f>
        <v>62.803797468354446</v>
      </c>
      <c r="D184">
        <v>1</v>
      </c>
      <c r="G184" t="s">
        <v>19</v>
      </c>
    </row>
    <row r="185" spans="2:9">
      <c r="C185">
        <f>C184 + VLOOKUP(G185, Sheet1!$B$4:$C$13, 2, FALSE) + IF(H185="", 0, VLOOKUP(H185, Sheet1!$B$4:$C$13, 2, FALSE))</f>
        <v>64.322784810126592</v>
      </c>
      <c r="G185" t="s">
        <v>17</v>
      </c>
      <c r="H185" t="s">
        <v>17</v>
      </c>
    </row>
    <row r="186" spans="2:9">
      <c r="C186">
        <f>C185 + VLOOKUP(G186, Sheet1!$B$4:$C$13, 2, FALSE) + IF(H186="", 0, VLOOKUP(H186, Sheet1!$B$4:$C$13, 2, FALSE))</f>
        <v>65.841772151898738</v>
      </c>
      <c r="G186" t="s">
        <v>17</v>
      </c>
      <c r="H186" t="s">
        <v>17</v>
      </c>
    </row>
    <row r="187" spans="2:9">
      <c r="B187" cm="1">
        <f t="array" aca="1" ref="B187" ca="1">B187:H2008</f>
        <v>0</v>
      </c>
      <c r="C187">
        <f>C186 + VLOOKUP(G187, Sheet1!$B$4:$C$13, 2, FALSE) + IF(H187="", 0, VLOOKUP(H187, Sheet1!$B$4:$C$13, 2, FALSE))</f>
        <v>66.221518987341781</v>
      </c>
      <c r="D187">
        <v>11</v>
      </c>
      <c r="G187" t="s">
        <v>18</v>
      </c>
      <c r="I187" t="s">
        <v>51</v>
      </c>
    </row>
    <row r="188" spans="2:9">
      <c r="B188">
        <v>0</v>
      </c>
      <c r="C188">
        <f>C187 + VLOOKUP(G188, Sheet1!$B$4:$C$13, 2, FALSE) + IF(H188="", 0, VLOOKUP(H188, Sheet1!$B$4:$C$13, 2, FALSE))</f>
        <v>66.411392405063296</v>
      </c>
      <c r="D188">
        <v>11</v>
      </c>
      <c r="G188" t="s">
        <v>19</v>
      </c>
    </row>
    <row r="189" spans="2:9">
      <c r="B189" cm="1">
        <f t="array" aca="1" ref="B189" ca="1">B189:G1997</f>
        <v>0</v>
      </c>
      <c r="C189">
        <f>C188 + VLOOKUP(G189, Sheet1!$B$4:$C$13, 2, FALSE) + IF(H189="", 0, VLOOKUP(H189, Sheet1!$B$4:$C$13, 2, FALSE))</f>
        <v>66.601265822784811</v>
      </c>
      <c r="D189">
        <v>11</v>
      </c>
      <c r="G189" t="s">
        <v>19</v>
      </c>
    </row>
    <row r="190" spans="2:9">
      <c r="B190">
        <v>0</v>
      </c>
      <c r="C190">
        <f>C189 + VLOOKUP(G190, Sheet1!$B$4:$C$13, 2, FALSE) + IF(H190="", 0, VLOOKUP(H190, Sheet1!$B$4:$C$13, 2, FALSE))</f>
        <v>66.791139240506325</v>
      </c>
      <c r="D190">
        <v>11</v>
      </c>
      <c r="G190" t="s">
        <v>19</v>
      </c>
    </row>
    <row r="191" spans="2:9">
      <c r="B191">
        <v>0</v>
      </c>
      <c r="C191">
        <f>C190 + VLOOKUP(G191, Sheet1!$B$4:$C$13, 2, FALSE) + IF(H191="", 0, VLOOKUP(H191, Sheet1!$B$4:$C$13, 2, FALSE))</f>
        <v>66.98101265822784</v>
      </c>
      <c r="D191">
        <v>4</v>
      </c>
      <c r="G191" t="s">
        <v>19</v>
      </c>
    </row>
    <row r="192" spans="2:9">
      <c r="B192">
        <v>0</v>
      </c>
      <c r="C192">
        <f>C191 + VLOOKUP(G192, Sheet1!$B$4:$C$13, 2, FALSE) + IF(H192="", 0, VLOOKUP(H192, Sheet1!$B$4:$C$13, 2, FALSE))</f>
        <v>67.170886075949355</v>
      </c>
      <c r="D192">
        <v>3</v>
      </c>
      <c r="G192" t="s">
        <v>19</v>
      </c>
    </row>
    <row r="193" spans="2:9">
      <c r="B193">
        <v>0</v>
      </c>
      <c r="C193">
        <f>C192 + VLOOKUP(G193, Sheet1!$B$4:$C$13, 2, FALSE) + IF(H193="", 0, VLOOKUP(H193, Sheet1!$B$4:$C$13, 2, FALSE))</f>
        <v>67.360759493670869</v>
      </c>
      <c r="D193">
        <v>4</v>
      </c>
      <c r="G193" t="s">
        <v>19</v>
      </c>
    </row>
    <row r="194" spans="2:9">
      <c r="B194">
        <v>1</v>
      </c>
      <c r="C194">
        <f>C193 + VLOOKUP(G194, Sheet1!$B$4:$C$13, 2, FALSE) + IF(H194="", 0, VLOOKUP(H194, Sheet1!$B$4:$C$13, 2, FALSE))</f>
        <v>69.259493670886059</v>
      </c>
      <c r="D194">
        <v>11</v>
      </c>
      <c r="G194" t="s">
        <v>21</v>
      </c>
      <c r="H194" t="s">
        <v>17</v>
      </c>
      <c r="I194" t="s">
        <v>51</v>
      </c>
    </row>
    <row r="195" spans="2:9">
      <c r="B195">
        <v>1</v>
      </c>
      <c r="C195">
        <f>C194 + VLOOKUP(G195, Sheet1!$B$4:$C$13, 2, FALSE) + IF(H195="", 0, VLOOKUP(H195, Sheet1!$B$4:$C$13, 2, FALSE))</f>
        <v>69.449367088607573</v>
      </c>
      <c r="D195">
        <v>11</v>
      </c>
      <c r="G195" t="s">
        <v>19</v>
      </c>
    </row>
    <row r="196" spans="2:9">
      <c r="B196">
        <v>1</v>
      </c>
      <c r="C196">
        <f>C195 + VLOOKUP(G196, Sheet1!$B$4:$C$13, 2, FALSE) + IF(H196="", 0, VLOOKUP(H196, Sheet1!$B$4:$C$13, 2, FALSE))</f>
        <v>69.639240506329088</v>
      </c>
      <c r="D196">
        <v>11</v>
      </c>
      <c r="G196" t="s">
        <v>19</v>
      </c>
    </row>
    <row r="197" spans="2:9">
      <c r="B197">
        <v>1</v>
      </c>
      <c r="C197">
        <f>C196 + VLOOKUP(G197, Sheet1!$B$4:$C$13, 2, FALSE) + IF(H197="", 0, VLOOKUP(H197, Sheet1!$B$4:$C$13, 2, FALSE))</f>
        <v>69.829113924050603</v>
      </c>
      <c r="D197">
        <v>11</v>
      </c>
      <c r="G197" t="s">
        <v>19</v>
      </c>
    </row>
    <row r="198" spans="2:9">
      <c r="B198">
        <v>1</v>
      </c>
      <c r="C198">
        <f>C197 + VLOOKUP(G198, Sheet1!$B$4:$C$13, 2, FALSE) + IF(H198="", 0, VLOOKUP(H198, Sheet1!$B$4:$C$13, 2, FALSE))</f>
        <v>70.018987341772117</v>
      </c>
      <c r="D198">
        <v>4</v>
      </c>
      <c r="G198" t="s">
        <v>19</v>
      </c>
    </row>
    <row r="199" spans="2:9">
      <c r="B199">
        <v>1</v>
      </c>
      <c r="C199">
        <f>C198 + VLOOKUP(G199, Sheet1!$B$4:$C$13, 2, FALSE) + IF(H199="", 0, VLOOKUP(H199, Sheet1!$B$4:$C$13, 2, FALSE))</f>
        <v>70.208860759493632</v>
      </c>
      <c r="D199">
        <v>3</v>
      </c>
      <c r="G199" t="s">
        <v>19</v>
      </c>
    </row>
    <row r="200" spans="2:9">
      <c r="B200">
        <v>1</v>
      </c>
      <c r="C200">
        <f>C199 + VLOOKUP(G200, Sheet1!$B$4:$C$13, 2, FALSE) + IF(H200="", 0, VLOOKUP(H200, Sheet1!$B$4:$C$13, 2, FALSE))</f>
        <v>70.398734177215147</v>
      </c>
      <c r="D200">
        <v>4</v>
      </c>
      <c r="G200" t="s">
        <v>19</v>
      </c>
    </row>
    <row r="201" spans="2:9">
      <c r="B201">
        <v>1</v>
      </c>
      <c r="C201">
        <f>C200 + VLOOKUP(G201, Sheet1!$B$4:$C$13, 2, FALSE) + IF(H201="", 0, VLOOKUP(H201, Sheet1!$B$4:$C$13, 2, FALSE))</f>
        <v>71.15822784810122</v>
      </c>
      <c r="D201">
        <v>6</v>
      </c>
      <c r="G201" t="s">
        <v>17</v>
      </c>
      <c r="I201" t="s">
        <v>53</v>
      </c>
    </row>
    <row r="202" spans="2:9">
      <c r="B202">
        <v>1</v>
      </c>
      <c r="C202">
        <f>C201 + VLOOKUP(G202, Sheet1!$B$4:$C$13, 2, FALSE) + IF(H202="", 0, VLOOKUP(H202, Sheet1!$B$4:$C$13, 2, FALSE))</f>
        <v>71.917721518987292</v>
      </c>
      <c r="D202">
        <v>8</v>
      </c>
      <c r="G202" t="s">
        <v>17</v>
      </c>
    </row>
    <row r="203" spans="2:9">
      <c r="C203">
        <f>C202 + VLOOKUP(G203, Sheet1!$B$4:$C$13, 2, FALSE) + IF(H203="", 0, VLOOKUP(H203, Sheet1!$B$4:$C$13, 2, FALSE))</f>
        <v>73.436708860759438</v>
      </c>
      <c r="E203">
        <v>1</v>
      </c>
      <c r="G203" t="s">
        <v>17</v>
      </c>
      <c r="H203" t="s">
        <v>17</v>
      </c>
    </row>
    <row r="204" spans="2:9">
      <c r="B204">
        <v>1</v>
      </c>
      <c r="C204">
        <f>C203 + VLOOKUP(G204, Sheet1!$B$4:$C$13, 2, FALSE) + IF(H204="", 0, VLOOKUP(H204, Sheet1!$B$4:$C$13, 2, FALSE))</f>
        <v>74.955696202531584</v>
      </c>
      <c r="D204">
        <v>10</v>
      </c>
      <c r="G204" t="s">
        <v>17</v>
      </c>
      <c r="H204" t="s">
        <v>17</v>
      </c>
      <c r="I204" t="s">
        <v>52</v>
      </c>
    </row>
    <row r="205" spans="2:9">
      <c r="B205">
        <v>2</v>
      </c>
      <c r="C205">
        <f>C204 + VLOOKUP(G205, Sheet1!$B$4:$C$13, 2, FALSE) + IF(H205="", 0, VLOOKUP(H205, Sheet1!$B$4:$C$13, 2, FALSE))</f>
        <v>75.145569620253099</v>
      </c>
      <c r="D205">
        <v>6</v>
      </c>
      <c r="G205" t="s">
        <v>19</v>
      </c>
    </row>
    <row r="206" spans="2:9">
      <c r="B206">
        <v>1</v>
      </c>
      <c r="C206">
        <f>C205 + VLOOKUP(G206, Sheet1!$B$4:$C$13, 2, FALSE) + IF(H206="", 0, VLOOKUP(H206, Sheet1!$B$4:$C$13, 2, FALSE))</f>
        <v>75.525316455696142</v>
      </c>
      <c r="D206">
        <v>5</v>
      </c>
      <c r="G206" t="s">
        <v>18</v>
      </c>
    </row>
    <row r="207" spans="2:9">
      <c r="B207">
        <v>2</v>
      </c>
      <c r="C207">
        <f>C206 + VLOOKUP(G207, Sheet1!$B$4:$C$13, 2, FALSE) + IF(H207="", 0, VLOOKUP(H207, Sheet1!$B$4:$C$13, 2, FALSE))</f>
        <v>75.905063291139186</v>
      </c>
      <c r="D207">
        <v>3</v>
      </c>
      <c r="G207" t="s">
        <v>18</v>
      </c>
    </row>
    <row r="208" spans="2:9">
      <c r="B208">
        <v>1</v>
      </c>
      <c r="C208">
        <f>C207 + VLOOKUP(G208, Sheet1!$B$4:$C$13, 2, FALSE) + IF(H208="", 0, VLOOKUP(H208, Sheet1!$B$4:$C$13, 2, FALSE))</f>
        <v>76.284810126582229</v>
      </c>
      <c r="D208">
        <v>0</v>
      </c>
      <c r="G208" t="s">
        <v>18</v>
      </c>
    </row>
    <row r="209" spans="2:7">
      <c r="B209">
        <v>2</v>
      </c>
      <c r="C209">
        <f>C208 + VLOOKUP(G209, Sheet1!$B$4:$C$13, 2, FALSE) + IF(H209="", 0, VLOOKUP(H209, Sheet1!$B$4:$C$13, 2, FALSE))</f>
        <v>76.854430379746788</v>
      </c>
      <c r="D209">
        <v>1</v>
      </c>
      <c r="G209" t="s">
        <v>22</v>
      </c>
    </row>
    <row r="210" spans="2:7">
      <c r="B210">
        <v>1</v>
      </c>
      <c r="C210">
        <f>C209 + VLOOKUP(G210, Sheet1!$B$4:$C$13, 2, FALSE) + IF(H210="", 0, VLOOKUP(H210, Sheet1!$B$4:$C$13, 2, FALSE))</f>
        <v>77.234177215189831</v>
      </c>
      <c r="D210">
        <v>3</v>
      </c>
      <c r="G210" t="s">
        <v>18</v>
      </c>
    </row>
    <row r="211" spans="2:7">
      <c r="B211">
        <v>1</v>
      </c>
      <c r="C211">
        <f>C210 + VLOOKUP(G211, Sheet1!$B$4:$C$13, 2, FALSE) + IF(H211="", 0, VLOOKUP(H211, Sheet1!$B$4:$C$13, 2, FALSE))</f>
        <v>77.803797468354389</v>
      </c>
      <c r="D211">
        <v>1</v>
      </c>
      <c r="G211" t="s">
        <v>22</v>
      </c>
    </row>
    <row r="212" spans="2:7">
      <c r="B212">
        <v>2</v>
      </c>
      <c r="C212">
        <f>C211 + VLOOKUP(G212, Sheet1!$B$4:$C$13, 2, FALSE) + IF(H212="", 0, VLOOKUP(H212, Sheet1!$B$4:$C$13, 2, FALSE))</f>
        <v>78.563291139240462</v>
      </c>
      <c r="D212">
        <v>0</v>
      </c>
      <c r="G212" t="s">
        <v>17</v>
      </c>
    </row>
    <row r="213" spans="2:7">
      <c r="B213">
        <v>2</v>
      </c>
      <c r="C213">
        <f>C212 + VLOOKUP(G213, Sheet1!$B$4:$C$13, 2, FALSE) + IF(H213="", 0, VLOOKUP(H213, Sheet1!$B$4:$C$13, 2, FALSE))</f>
        <v>79.322784810126535</v>
      </c>
      <c r="D213">
        <v>1</v>
      </c>
      <c r="G213" t="s">
        <v>17</v>
      </c>
    </row>
    <row r="216" spans="2:7">
      <c r="F216" t="s">
        <v>54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9AB6-A131-4A42-B313-9D2D14F00738}">
  <dimension ref="A2:D13"/>
  <sheetViews>
    <sheetView workbookViewId="0">
      <selection activeCell="C2" sqref="C2"/>
    </sheetView>
  </sheetViews>
  <sheetFormatPr defaultRowHeight="18.75"/>
  <cols>
    <col min="1" max="1" width="23.375" bestFit="1" customWidth="1"/>
    <col min="2" max="2" width="5.5" bestFit="1" customWidth="1"/>
    <col min="3" max="3" width="17.625" customWidth="1"/>
  </cols>
  <sheetData>
    <row r="2" spans="1:4">
      <c r="A2" s="2" t="s">
        <v>2</v>
      </c>
      <c r="B2" s="2"/>
      <c r="C2">
        <v>158</v>
      </c>
      <c r="D2">
        <v>150</v>
      </c>
    </row>
    <row r="4" spans="1:4">
      <c r="A4" s="2" t="s">
        <v>4</v>
      </c>
      <c r="B4" s="2" t="s">
        <v>16</v>
      </c>
      <c r="C4">
        <f>C7*4</f>
        <v>1.518987341772152</v>
      </c>
    </row>
    <row r="6" spans="1:4">
      <c r="A6" s="2" t="s">
        <v>5</v>
      </c>
      <c r="B6" s="2" t="s">
        <v>17</v>
      </c>
      <c r="C6">
        <f>C7*2</f>
        <v>0.759493670886076</v>
      </c>
    </row>
    <row r="7" spans="1:4">
      <c r="A7" s="2" t="s">
        <v>6</v>
      </c>
      <c r="B7" s="2" t="s">
        <v>18</v>
      </c>
      <c r="C7">
        <f>SUM(60/C2)</f>
        <v>0.379746835443038</v>
      </c>
    </row>
    <row r="8" spans="1:4">
      <c r="A8" s="2" t="s">
        <v>7</v>
      </c>
      <c r="B8" s="2" t="s">
        <v>19</v>
      </c>
      <c r="C8">
        <f>C7*0.5</f>
        <v>0.189873417721519</v>
      </c>
    </row>
    <row r="9" spans="1:4">
      <c r="A9" s="2" t="s">
        <v>8</v>
      </c>
      <c r="B9" s="2" t="s">
        <v>20</v>
      </c>
      <c r="C9">
        <f>C7*0.25</f>
        <v>9.49367088607595E-2</v>
      </c>
    </row>
    <row r="10" spans="1:4">
      <c r="A10" s="2" t="s">
        <v>9</v>
      </c>
      <c r="B10" s="2" t="s">
        <v>21</v>
      </c>
      <c r="C10">
        <f>SUM(C7*3)</f>
        <v>1.139240506329114</v>
      </c>
    </row>
    <row r="11" spans="1:4">
      <c r="A11" s="2" t="s">
        <v>11</v>
      </c>
      <c r="B11" s="2" t="s">
        <v>22</v>
      </c>
      <c r="C11">
        <f>C7*1.5</f>
        <v>0.569620253164557</v>
      </c>
    </row>
    <row r="12" spans="1:4">
      <c r="A12" s="2" t="s">
        <v>10</v>
      </c>
      <c r="B12" s="2" t="s">
        <v>23</v>
      </c>
      <c r="C12">
        <f>C7*0.75</f>
        <v>0.2848101265822785</v>
      </c>
    </row>
    <row r="13" spans="1:4">
      <c r="A13" s="2" t="s">
        <v>12</v>
      </c>
      <c r="B13" s="2" t="s">
        <v>24</v>
      </c>
      <c r="C13">
        <f>C7*0.375</f>
        <v>0.14240506329113925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C5F2-ADA2-4CBD-9670-A9F18665BAE9}">
  <dimension ref="A1:C208"/>
  <sheetViews>
    <sheetView tabSelected="1" topLeftCell="A192" zoomScaleNormal="100" workbookViewId="0">
      <selection activeCell="N198" sqref="N198"/>
    </sheetView>
  </sheetViews>
  <sheetFormatPr defaultRowHeight="18.75"/>
  <sheetData>
    <row r="1" spans="1:3">
      <c r="A1">
        <v>1</v>
      </c>
      <c r="B1">
        <f>DataList_EnemyA!C3</f>
        <v>1</v>
      </c>
      <c r="C1">
        <v>1</v>
      </c>
    </row>
    <row r="2" spans="1:3">
      <c r="A2">
        <v>1</v>
      </c>
      <c r="B2">
        <f>DataList_EnemyA!C4</f>
        <v>1.379746835443038</v>
      </c>
      <c r="C2">
        <v>1</v>
      </c>
    </row>
    <row r="3" spans="1:3">
      <c r="A3">
        <v>1</v>
      </c>
      <c r="B3">
        <f>DataList_EnemyA!C5</f>
        <v>1.759493670886076</v>
      </c>
      <c r="C3">
        <v>3</v>
      </c>
    </row>
    <row r="4" spans="1:3">
      <c r="A4">
        <v>1</v>
      </c>
      <c r="B4">
        <f>DataList_EnemyA!C6</f>
        <v>2.1392405063291138</v>
      </c>
      <c r="C4">
        <v>1</v>
      </c>
    </row>
    <row r="5" spans="1:3">
      <c r="A5">
        <v>1</v>
      </c>
      <c r="B5">
        <f>DataList_EnemyA!C7</f>
        <v>2.3291139240506329</v>
      </c>
      <c r="C5">
        <v>0</v>
      </c>
    </row>
    <row r="6" spans="1:3">
      <c r="A6">
        <v>1</v>
      </c>
      <c r="B6">
        <f>DataList_EnemyA!C8</f>
        <v>2.518987341772152</v>
      </c>
      <c r="C6">
        <v>1</v>
      </c>
    </row>
    <row r="7" spans="1:3">
      <c r="A7">
        <v>1</v>
      </c>
      <c r="B7">
        <f>DataList_EnemyA!C9</f>
        <v>2.7088607594936711</v>
      </c>
      <c r="C7">
        <v>3</v>
      </c>
    </row>
    <row r="8" spans="1:3">
      <c r="A8">
        <v>2</v>
      </c>
      <c r="B8">
        <f>DataList_EnemyA!C10</f>
        <v>3.0886075949367093</v>
      </c>
      <c r="C8">
        <v>1</v>
      </c>
    </row>
    <row r="9" spans="1:3">
      <c r="A9">
        <v>2</v>
      </c>
      <c r="B9">
        <f>DataList_EnemyA!C11</f>
        <v>3.8481012658227853</v>
      </c>
      <c r="C9">
        <v>1</v>
      </c>
    </row>
    <row r="10" spans="1:3">
      <c r="A10">
        <v>2</v>
      </c>
      <c r="B10">
        <f>DataList_EnemyA!C12</f>
        <v>4.2278481012658231</v>
      </c>
      <c r="C10">
        <v>1</v>
      </c>
    </row>
    <row r="11" spans="1:3">
      <c r="A11">
        <v>2</v>
      </c>
      <c r="B11">
        <f>DataList_EnemyA!C13</f>
        <v>4.6075949367088613</v>
      </c>
      <c r="C11">
        <v>3</v>
      </c>
    </row>
    <row r="12" spans="1:3">
      <c r="A12">
        <v>2</v>
      </c>
      <c r="B12">
        <f>DataList_EnemyA!C14</f>
        <v>4.9873417721518996</v>
      </c>
      <c r="C12">
        <v>1</v>
      </c>
    </row>
    <row r="13" spans="1:3">
      <c r="A13">
        <v>2</v>
      </c>
      <c r="B13">
        <f>DataList_EnemyA!C15</f>
        <v>5.3670886075949378</v>
      </c>
      <c r="C13">
        <v>0</v>
      </c>
    </row>
    <row r="14" spans="1:3">
      <c r="A14">
        <v>2</v>
      </c>
      <c r="B14">
        <f>DataList_EnemyA!C16</f>
        <v>5.5569620253164569</v>
      </c>
      <c r="C14">
        <v>1</v>
      </c>
    </row>
    <row r="15" spans="1:3">
      <c r="A15">
        <v>2</v>
      </c>
      <c r="B15">
        <f>DataList_EnemyA!C17</f>
        <v>5.746835443037976</v>
      </c>
      <c r="C15">
        <v>3</v>
      </c>
    </row>
    <row r="16" spans="1:3">
      <c r="A16">
        <v>2</v>
      </c>
      <c r="B16">
        <f>DataList_EnemyA!C18</f>
        <v>5.9367088607594951</v>
      </c>
      <c r="C16">
        <v>5</v>
      </c>
    </row>
    <row r="17" spans="1:3">
      <c r="A17">
        <v>2</v>
      </c>
      <c r="B17">
        <f>DataList_EnemyA!C19</f>
        <v>6.1265822784810142</v>
      </c>
      <c r="C17">
        <v>6</v>
      </c>
    </row>
    <row r="18" spans="1:3">
      <c r="A18">
        <v>2</v>
      </c>
      <c r="B18">
        <f>DataList_EnemyA!C20</f>
        <v>6.3164556962025333</v>
      </c>
      <c r="C18">
        <v>5</v>
      </c>
    </row>
    <row r="19" spans="1:3">
      <c r="A19">
        <v>1</v>
      </c>
      <c r="B19">
        <f>DataList_EnemyA!C21</f>
        <v>6.5063291139240524</v>
      </c>
      <c r="C19">
        <v>3</v>
      </c>
    </row>
    <row r="20" spans="1:3">
      <c r="A20">
        <v>2</v>
      </c>
      <c r="B20">
        <f>DataList_EnemyA!C22</f>
        <v>6.6962025316455716</v>
      </c>
      <c r="C20">
        <v>1</v>
      </c>
    </row>
    <row r="21" spans="1:3">
      <c r="A21">
        <v>1</v>
      </c>
      <c r="B21">
        <f>DataList_EnemyA!C23</f>
        <v>7.0759493670886098</v>
      </c>
      <c r="C21">
        <v>1</v>
      </c>
    </row>
    <row r="22" spans="1:3">
      <c r="A22">
        <v>2</v>
      </c>
      <c r="B22">
        <f>DataList_EnemyA!C24</f>
        <v>7.455696202531648</v>
      </c>
      <c r="C22">
        <v>3</v>
      </c>
    </row>
    <row r="23" spans="1:3">
      <c r="A23">
        <v>1</v>
      </c>
      <c r="B23">
        <f>DataList_EnemyA!C25</f>
        <v>7.6455696202531671</v>
      </c>
      <c r="C23">
        <v>1</v>
      </c>
    </row>
    <row r="24" spans="1:3">
      <c r="A24">
        <v>2</v>
      </c>
      <c r="B24">
        <f>DataList_EnemyA!C26</f>
        <v>8.0253164556962044</v>
      </c>
      <c r="C24">
        <v>0</v>
      </c>
    </row>
    <row r="25" spans="1:3">
      <c r="A25">
        <v>1</v>
      </c>
      <c r="B25">
        <f>DataList_EnemyA!C27</f>
        <v>8.5949367088607609</v>
      </c>
      <c r="C25">
        <v>1</v>
      </c>
    </row>
    <row r="26" spans="1:3">
      <c r="A26">
        <v>2</v>
      </c>
      <c r="B26">
        <f>DataList_EnemyA!C28</f>
        <v>8.9746835443037991</v>
      </c>
      <c r="C26">
        <v>3</v>
      </c>
    </row>
    <row r="27" spans="1:3">
      <c r="A27">
        <v>2</v>
      </c>
      <c r="B27">
        <f>DataList_EnemyA!C29</f>
        <v>9.3544303797468373</v>
      </c>
      <c r="C27">
        <v>3</v>
      </c>
    </row>
    <row r="28" spans="1:3">
      <c r="A28">
        <v>1</v>
      </c>
      <c r="B28">
        <f>DataList_EnemyA!C30</f>
        <v>10.113924050632914</v>
      </c>
      <c r="C28">
        <v>1</v>
      </c>
    </row>
    <row r="29" spans="1:3">
      <c r="A29">
        <v>1</v>
      </c>
      <c r="B29">
        <f>DataList_EnemyA!C31</f>
        <v>10.68354430379747</v>
      </c>
      <c r="C29">
        <v>1</v>
      </c>
    </row>
    <row r="30" spans="1:3">
      <c r="A30">
        <v>1</v>
      </c>
      <c r="B30">
        <f>DataList_EnemyA!C32</f>
        <v>10.873417721518988</v>
      </c>
      <c r="C30">
        <v>1</v>
      </c>
    </row>
    <row r="31" spans="1:3">
      <c r="A31">
        <v>1</v>
      </c>
      <c r="B31">
        <f>DataList_EnemyA!C33</f>
        <v>11.443037974683545</v>
      </c>
      <c r="C31">
        <v>1</v>
      </c>
    </row>
    <row r="32" spans="1:3">
      <c r="A32">
        <v>1</v>
      </c>
      <c r="B32">
        <f>DataList_EnemyA!C34</f>
        <v>11.632911392405063</v>
      </c>
      <c r="C32">
        <v>1</v>
      </c>
    </row>
    <row r="33" spans="1:3">
      <c r="A33">
        <v>2</v>
      </c>
      <c r="B33">
        <f>DataList_EnemyA!C35</f>
        <v>11.822784810126581</v>
      </c>
      <c r="C33">
        <v>3</v>
      </c>
    </row>
    <row r="34" spans="1:3">
      <c r="A34">
        <v>2</v>
      </c>
      <c r="B34">
        <f>DataList_EnemyA!C36</f>
        <v>12.0126582278481</v>
      </c>
      <c r="C34">
        <v>5</v>
      </c>
    </row>
    <row r="35" spans="1:3">
      <c r="A35">
        <v>2</v>
      </c>
      <c r="B35">
        <f>DataList_EnemyA!C37</f>
        <v>12.202531645569618</v>
      </c>
      <c r="C35">
        <v>7</v>
      </c>
    </row>
    <row r="36" spans="1:3">
      <c r="A36">
        <v>2</v>
      </c>
      <c r="B36">
        <f>DataList_EnemyA!C38</f>
        <v>12.392405063291136</v>
      </c>
      <c r="C36">
        <v>5</v>
      </c>
    </row>
    <row r="37" spans="1:3">
      <c r="A37">
        <v>2</v>
      </c>
      <c r="B37">
        <f>DataList_EnemyA!C39</f>
        <v>12.962025316455692</v>
      </c>
      <c r="C37">
        <v>1</v>
      </c>
    </row>
    <row r="38" spans="1:3">
      <c r="A38">
        <v>1</v>
      </c>
      <c r="B38">
        <f>DataList_EnemyA!C40</f>
        <v>13.151898734177211</v>
      </c>
      <c r="C38">
        <v>3</v>
      </c>
    </row>
    <row r="39" spans="1:3">
      <c r="A39">
        <v>2</v>
      </c>
      <c r="B39">
        <f>DataList_EnemyA!C41</f>
        <v>13.341772151898729</v>
      </c>
      <c r="C39">
        <v>5</v>
      </c>
    </row>
    <row r="40" spans="1:3">
      <c r="A40">
        <v>1</v>
      </c>
      <c r="B40">
        <f>DataList_EnemyA!C42</f>
        <v>13.531645569620247</v>
      </c>
      <c r="C40">
        <v>6</v>
      </c>
    </row>
    <row r="41" spans="1:3">
      <c r="A41">
        <v>2</v>
      </c>
      <c r="B41">
        <f>DataList_EnemyA!C43</f>
        <v>13.911392405063285</v>
      </c>
      <c r="C41">
        <v>5</v>
      </c>
    </row>
    <row r="42" spans="1:3">
      <c r="A42">
        <v>1</v>
      </c>
      <c r="B42">
        <f>DataList_EnemyA!C44</f>
        <v>14.101265822784804</v>
      </c>
      <c r="C42">
        <v>0</v>
      </c>
    </row>
    <row r="43" spans="1:3">
      <c r="A43">
        <v>2</v>
      </c>
      <c r="B43">
        <f>DataList_EnemyA!C45</f>
        <v>14.481012658227842</v>
      </c>
      <c r="C43">
        <v>3</v>
      </c>
    </row>
    <row r="44" spans="1:3">
      <c r="A44">
        <v>1</v>
      </c>
      <c r="B44">
        <f>DataList_EnemyA!C46</f>
        <v>14.67088607594936</v>
      </c>
      <c r="C44">
        <v>5</v>
      </c>
    </row>
    <row r="45" spans="1:3">
      <c r="A45">
        <v>2</v>
      </c>
      <c r="B45">
        <f>DataList_EnemyA!C47</f>
        <v>14.860759493670878</v>
      </c>
      <c r="C45">
        <v>1</v>
      </c>
    </row>
    <row r="46" spans="1:3">
      <c r="A46">
        <v>1</v>
      </c>
      <c r="B46">
        <f>DataList_EnemyA!C48</f>
        <v>15.810126582278473</v>
      </c>
      <c r="C46">
        <v>1</v>
      </c>
    </row>
    <row r="47" spans="1:3">
      <c r="A47">
        <v>1</v>
      </c>
      <c r="B47">
        <f>DataList_EnemyA!C49</f>
        <v>15.999999999999991</v>
      </c>
      <c r="C47">
        <v>1</v>
      </c>
    </row>
    <row r="48" spans="1:3">
      <c r="A48">
        <v>1</v>
      </c>
      <c r="B48">
        <f>DataList_EnemyA!C50</f>
        <v>16.569620253164548</v>
      </c>
      <c r="C48">
        <v>1</v>
      </c>
    </row>
    <row r="49" spans="1:3">
      <c r="A49">
        <v>1</v>
      </c>
      <c r="B49">
        <f>DataList_EnemyA!C51</f>
        <v>16.759493670886066</v>
      </c>
      <c r="C49">
        <v>1</v>
      </c>
    </row>
    <row r="50" spans="1:3">
      <c r="A50">
        <v>1</v>
      </c>
      <c r="B50">
        <f>DataList_EnemyA!C52</f>
        <v>17.329113924050624</v>
      </c>
      <c r="C50">
        <v>1</v>
      </c>
    </row>
    <row r="51" spans="1:3">
      <c r="A51">
        <v>1</v>
      </c>
      <c r="B51">
        <f>DataList_EnemyA!C53</f>
        <v>17.518987341772142</v>
      </c>
      <c r="C51">
        <v>1</v>
      </c>
    </row>
    <row r="52" spans="1:3">
      <c r="A52">
        <v>0</v>
      </c>
      <c r="B52">
        <f>DataList_EnemyA!C54</f>
        <v>17.70886075949366</v>
      </c>
      <c r="C52">
        <v>8</v>
      </c>
    </row>
    <row r="53" spans="1:3">
      <c r="A53">
        <v>0</v>
      </c>
      <c r="B53">
        <f>DataList_EnemyA!C55</f>
        <v>17.898734177215179</v>
      </c>
      <c r="C53">
        <v>8</v>
      </c>
    </row>
    <row r="54" spans="1:3">
      <c r="A54">
        <v>2</v>
      </c>
      <c r="B54">
        <f>DataList_EnemyA!C56</f>
        <v>18.278481012658215</v>
      </c>
      <c r="C54">
        <v>5</v>
      </c>
    </row>
    <row r="55" spans="1:3">
      <c r="A55">
        <v>1</v>
      </c>
      <c r="B55">
        <f>DataList_EnemyA!C57</f>
        <v>18.848101265822773</v>
      </c>
      <c r="C55">
        <v>5</v>
      </c>
    </row>
    <row r="56" spans="1:3">
      <c r="A56">
        <v>1</v>
      </c>
      <c r="B56">
        <f>DataList_EnemyA!C58</f>
        <v>19.037974683544292</v>
      </c>
      <c r="C56">
        <v>6</v>
      </c>
    </row>
    <row r="57" spans="1:3">
      <c r="A57">
        <v>1</v>
      </c>
      <c r="B57">
        <f>DataList_EnemyA!C59</f>
        <v>19.417721518987328</v>
      </c>
      <c r="C57">
        <v>5</v>
      </c>
    </row>
    <row r="58" spans="1:3">
      <c r="A58">
        <v>1</v>
      </c>
      <c r="B58">
        <f>DataList_EnemyA!C60</f>
        <v>19.797468354430364</v>
      </c>
      <c r="C58">
        <v>3</v>
      </c>
    </row>
    <row r="59" spans="1:3">
      <c r="A59">
        <v>1</v>
      </c>
      <c r="B59">
        <f>DataList_EnemyA!C61</f>
        <v>19.987341772151883</v>
      </c>
      <c r="C59">
        <v>1</v>
      </c>
    </row>
    <row r="60" spans="1:3">
      <c r="A60">
        <v>1</v>
      </c>
      <c r="B60">
        <f>DataList_EnemyA!C62</f>
        <v>20.367088607594919</v>
      </c>
      <c r="C60">
        <v>1</v>
      </c>
    </row>
    <row r="61" spans="1:3">
      <c r="A61">
        <v>1</v>
      </c>
      <c r="B61">
        <f>DataList_EnemyA!C63</f>
        <v>20.651898734177198</v>
      </c>
      <c r="C61">
        <v>0</v>
      </c>
    </row>
    <row r="62" spans="1:3">
      <c r="A62">
        <v>1</v>
      </c>
      <c r="B62">
        <f>DataList_EnemyA!C64</f>
        <v>21.031645569620235</v>
      </c>
      <c r="C62">
        <v>1</v>
      </c>
    </row>
    <row r="63" spans="1:3">
      <c r="A63">
        <v>1</v>
      </c>
      <c r="B63">
        <f>DataList_EnemyA!C65</f>
        <v>21.221518987341753</v>
      </c>
      <c r="C63">
        <v>3</v>
      </c>
    </row>
    <row r="64" spans="1:3">
      <c r="A64">
        <v>2</v>
      </c>
      <c r="B64">
        <f>DataList_EnemyA!C66</f>
        <v>21.981012658227829</v>
      </c>
      <c r="C64">
        <v>5</v>
      </c>
    </row>
    <row r="65" spans="1:3">
      <c r="A65">
        <v>2</v>
      </c>
      <c r="B65">
        <f>DataList_EnemyA!C67</f>
        <v>22.360759493670866</v>
      </c>
      <c r="C65">
        <v>6</v>
      </c>
    </row>
    <row r="66" spans="1:3">
      <c r="A66">
        <v>2</v>
      </c>
      <c r="B66">
        <f>DataList_EnemyA!C68</f>
        <v>22.740506329113902</v>
      </c>
      <c r="C66">
        <v>5</v>
      </c>
    </row>
    <row r="67" spans="1:3">
      <c r="A67">
        <v>2</v>
      </c>
      <c r="B67">
        <f>DataList_EnemyA!C69</f>
        <v>23.120253164556939</v>
      </c>
      <c r="C67">
        <v>0</v>
      </c>
    </row>
    <row r="68" spans="1:3">
      <c r="A68">
        <v>2</v>
      </c>
      <c r="B68">
        <f>DataList_EnemyA!C70</f>
        <v>23.499999999999975</v>
      </c>
      <c r="C68">
        <v>1</v>
      </c>
    </row>
    <row r="69" spans="1:3">
      <c r="A69">
        <v>1</v>
      </c>
      <c r="B69">
        <f>DataList_EnemyA!C71</f>
        <v>24.924050632911367</v>
      </c>
      <c r="C69">
        <v>1</v>
      </c>
    </row>
    <row r="70" spans="1:3">
      <c r="A70">
        <v>1</v>
      </c>
      <c r="B70">
        <f>DataList_EnemyA!C72</f>
        <v>25.113924050632885</v>
      </c>
      <c r="C70">
        <v>5</v>
      </c>
    </row>
    <row r="71" spans="1:3">
      <c r="A71">
        <v>1</v>
      </c>
      <c r="B71">
        <f>DataList_EnemyA!C73</f>
        <v>25.493670886075922</v>
      </c>
      <c r="C71">
        <v>8</v>
      </c>
    </row>
    <row r="72" spans="1:3">
      <c r="A72">
        <v>1</v>
      </c>
      <c r="B72">
        <f>DataList_EnemyA!C74</f>
        <v>25.873417721518958</v>
      </c>
      <c r="C72">
        <v>5</v>
      </c>
    </row>
    <row r="73" spans="1:3">
      <c r="A73">
        <v>1</v>
      </c>
      <c r="B73">
        <f>DataList_EnemyA!C75</f>
        <v>26.253164556961995</v>
      </c>
      <c r="C73">
        <v>0</v>
      </c>
    </row>
    <row r="74" spans="1:3">
      <c r="A74">
        <v>1</v>
      </c>
      <c r="B74">
        <f>DataList_EnemyA!C76</f>
        <v>26.443037974683513</v>
      </c>
      <c r="C74">
        <v>0</v>
      </c>
    </row>
    <row r="75" spans="1:3">
      <c r="A75">
        <v>1</v>
      </c>
      <c r="B75">
        <f>DataList_EnemyA!C77</f>
        <v>26.632911392405031</v>
      </c>
      <c r="C75">
        <v>1</v>
      </c>
    </row>
    <row r="76" spans="1:3">
      <c r="A76">
        <v>1</v>
      </c>
      <c r="B76">
        <f>DataList_EnemyA!C78</f>
        <v>26.822784810126549</v>
      </c>
      <c r="C76">
        <v>3</v>
      </c>
    </row>
    <row r="77" spans="1:3">
      <c r="A77">
        <v>1</v>
      </c>
      <c r="B77">
        <f>DataList_EnemyA!C79</f>
        <v>27.202531645569586</v>
      </c>
      <c r="C77">
        <v>1</v>
      </c>
    </row>
    <row r="78" spans="1:3">
      <c r="A78">
        <v>1</v>
      </c>
      <c r="B78">
        <f>DataList_EnemyA!C80</f>
        <v>28.15189873417718</v>
      </c>
      <c r="C78">
        <v>10</v>
      </c>
    </row>
    <row r="79" spans="1:3">
      <c r="A79">
        <v>1</v>
      </c>
      <c r="B79">
        <f>DataList_EnemyA!C81</f>
        <v>28.341772151898699</v>
      </c>
      <c r="C79">
        <v>8</v>
      </c>
    </row>
    <row r="80" spans="1:3">
      <c r="A80">
        <v>1</v>
      </c>
      <c r="B80">
        <f>DataList_EnemyA!C82</f>
        <v>28.721518987341735</v>
      </c>
      <c r="C80">
        <v>6</v>
      </c>
    </row>
    <row r="81" spans="1:3">
      <c r="A81">
        <v>1</v>
      </c>
      <c r="B81">
        <f>DataList_EnemyA!C83</f>
        <v>28.911392405063253</v>
      </c>
      <c r="C81">
        <v>6</v>
      </c>
    </row>
    <row r="82" spans="1:3">
      <c r="A82">
        <v>1</v>
      </c>
      <c r="B82">
        <f>DataList_EnemyA!C84</f>
        <v>29.29113924050629</v>
      </c>
      <c r="C82">
        <v>5</v>
      </c>
    </row>
    <row r="83" spans="1:3">
      <c r="A83">
        <v>1</v>
      </c>
      <c r="B83">
        <f>DataList_EnemyA!C85</f>
        <v>29.481012658227808</v>
      </c>
      <c r="C83">
        <v>6</v>
      </c>
    </row>
    <row r="84" spans="1:3">
      <c r="A84">
        <v>3</v>
      </c>
      <c r="B84">
        <f>DataList_EnemyA!C86</f>
        <v>29.765822784810087</v>
      </c>
      <c r="C84">
        <v>0</v>
      </c>
    </row>
    <row r="85" spans="1:3">
      <c r="A85">
        <v>1</v>
      </c>
      <c r="B85">
        <f>DataList_EnemyA!C87</f>
        <v>30.145569620253124</v>
      </c>
      <c r="C85">
        <v>10</v>
      </c>
    </row>
    <row r="86" spans="1:3">
      <c r="A86">
        <v>1</v>
      </c>
      <c r="B86">
        <f>DataList_EnemyA!C88</f>
        <v>30.430379746835403</v>
      </c>
      <c r="C86">
        <v>8</v>
      </c>
    </row>
    <row r="87" spans="1:3">
      <c r="A87">
        <v>1</v>
      </c>
      <c r="B87">
        <f>DataList_EnemyA!C89</f>
        <v>30.620253164556921</v>
      </c>
      <c r="C87">
        <v>8</v>
      </c>
    </row>
    <row r="88" spans="1:3">
      <c r="A88">
        <v>1</v>
      </c>
      <c r="B88">
        <f>DataList_EnemyA!C90</f>
        <v>31.189873417721476</v>
      </c>
      <c r="C88">
        <v>9</v>
      </c>
    </row>
    <row r="89" spans="1:3">
      <c r="A89">
        <v>2</v>
      </c>
      <c r="B89">
        <f>DataList_EnemyA!C91</f>
        <v>31.379746835442994</v>
      </c>
      <c r="C89">
        <v>8</v>
      </c>
    </row>
    <row r="90" spans="1:3">
      <c r="A90">
        <v>2</v>
      </c>
      <c r="B90">
        <f>DataList_EnemyA!C92</f>
        <v>31.664556962025273</v>
      </c>
      <c r="C90">
        <v>6</v>
      </c>
    </row>
    <row r="91" spans="1:3">
      <c r="A91">
        <v>2</v>
      </c>
      <c r="B91">
        <f>DataList_EnemyA!C93</f>
        <v>32.044303797468309</v>
      </c>
      <c r="C91">
        <v>6</v>
      </c>
    </row>
    <row r="92" spans="1:3">
      <c r="A92">
        <v>2</v>
      </c>
      <c r="B92">
        <f>DataList_EnemyA!C94</f>
        <v>32.329113924050588</v>
      </c>
      <c r="C92">
        <v>8</v>
      </c>
    </row>
    <row r="93" spans="1:3">
      <c r="A93">
        <v>2</v>
      </c>
      <c r="B93">
        <f>DataList_EnemyA!C95</f>
        <v>32.708860759493625</v>
      </c>
      <c r="C93">
        <v>9</v>
      </c>
    </row>
    <row r="94" spans="1:3">
      <c r="A94">
        <v>0</v>
      </c>
      <c r="B94">
        <f>DataList_EnemyA!C96</f>
        <v>33.278481012658183</v>
      </c>
      <c r="C94">
        <v>11</v>
      </c>
    </row>
    <row r="95" spans="1:3">
      <c r="A95">
        <v>0</v>
      </c>
      <c r="B95">
        <f>DataList_EnemyA!C97</f>
        <v>33.468354430379705</v>
      </c>
      <c r="C95">
        <v>11</v>
      </c>
    </row>
    <row r="96" spans="1:3">
      <c r="A96">
        <v>0</v>
      </c>
      <c r="B96">
        <f>DataList_EnemyA!C98</f>
        <v>33.658227848101227</v>
      </c>
      <c r="C96">
        <v>11</v>
      </c>
    </row>
    <row r="97" spans="1:3">
      <c r="A97">
        <v>0</v>
      </c>
      <c r="B97">
        <f>DataList_EnemyA!C99</f>
        <v>34.03797468354427</v>
      </c>
      <c r="C97">
        <v>11</v>
      </c>
    </row>
    <row r="98" spans="1:3">
      <c r="A98">
        <v>0</v>
      </c>
      <c r="B98">
        <f>DataList_EnemyA!C100</f>
        <v>34.227848101265792</v>
      </c>
      <c r="C98">
        <v>11</v>
      </c>
    </row>
    <row r="99" spans="1:3">
      <c r="A99">
        <v>0</v>
      </c>
      <c r="B99">
        <f>DataList_EnemyA!C101</f>
        <v>34.607594936708836</v>
      </c>
      <c r="C99">
        <v>11</v>
      </c>
    </row>
    <row r="100" spans="1:3">
      <c r="A100">
        <v>0</v>
      </c>
      <c r="B100">
        <f>DataList_EnemyA!C102</f>
        <v>34.797468354430357</v>
      </c>
      <c r="C100">
        <v>11</v>
      </c>
    </row>
    <row r="101" spans="1:3">
      <c r="A101">
        <v>1</v>
      </c>
      <c r="B101">
        <f>DataList_EnemyA!C103</f>
        <v>35.367088607594916</v>
      </c>
      <c r="C101">
        <v>5</v>
      </c>
    </row>
    <row r="102" spans="1:3">
      <c r="A102">
        <v>1</v>
      </c>
      <c r="B102">
        <f>DataList_EnemyA!C104</f>
        <v>35.556962025316437</v>
      </c>
      <c r="C102">
        <v>6</v>
      </c>
    </row>
    <row r="103" spans="1:3">
      <c r="A103">
        <v>2</v>
      </c>
      <c r="B103">
        <f>DataList_EnemyA!C105</f>
        <v>35.936708860759474</v>
      </c>
      <c r="C103">
        <v>8</v>
      </c>
    </row>
    <row r="104" spans="1:3">
      <c r="A104">
        <v>2</v>
      </c>
      <c r="B104">
        <f>DataList_EnemyA!C106</f>
        <v>36.221518987341753</v>
      </c>
      <c r="C104">
        <v>8</v>
      </c>
    </row>
    <row r="105" spans="1:3">
      <c r="A105">
        <v>2</v>
      </c>
      <c r="B105">
        <f>DataList_EnemyA!C107</f>
        <v>36.601265822784789</v>
      </c>
      <c r="C105">
        <v>8</v>
      </c>
    </row>
    <row r="106" spans="1:3">
      <c r="A106">
        <v>2</v>
      </c>
      <c r="B106">
        <f>DataList_EnemyA!C108</f>
        <v>36.981012658227826</v>
      </c>
      <c r="C106">
        <v>8</v>
      </c>
    </row>
    <row r="107" spans="1:3">
      <c r="A107">
        <v>2</v>
      </c>
      <c r="B107">
        <f>DataList_EnemyA!C109</f>
        <v>37.360759493670862</v>
      </c>
      <c r="C107">
        <v>8</v>
      </c>
    </row>
    <row r="108" spans="1:3">
      <c r="A108">
        <v>1</v>
      </c>
      <c r="B108">
        <f>DataList_EnemyA!C110</f>
        <v>37.645569620253141</v>
      </c>
      <c r="C108">
        <v>1</v>
      </c>
    </row>
    <row r="109" spans="1:3">
      <c r="A109">
        <v>1</v>
      </c>
      <c r="B109">
        <f>DataList_EnemyA!C111</f>
        <v>37.835443037974663</v>
      </c>
      <c r="C109">
        <v>1</v>
      </c>
    </row>
    <row r="110" spans="1:3">
      <c r="A110">
        <v>1</v>
      </c>
      <c r="B110">
        <f>DataList_EnemyA!C112</f>
        <v>38.405063291139221</v>
      </c>
      <c r="C110">
        <v>1</v>
      </c>
    </row>
    <row r="111" spans="1:3">
      <c r="A111">
        <v>1</v>
      </c>
      <c r="B111">
        <f>DataList_EnemyA!C113</f>
        <v>38.594936708860743</v>
      </c>
      <c r="C111">
        <v>8</v>
      </c>
    </row>
    <row r="112" spans="1:3">
      <c r="A112">
        <v>1</v>
      </c>
      <c r="B112">
        <f>DataList_EnemyA!C114</f>
        <v>38.784810126582265</v>
      </c>
      <c r="C112">
        <v>6</v>
      </c>
    </row>
    <row r="113" spans="1:3">
      <c r="A113">
        <v>1</v>
      </c>
      <c r="B113">
        <f>DataList_EnemyA!C115</f>
        <v>38.974683544303787</v>
      </c>
      <c r="C113">
        <v>5</v>
      </c>
    </row>
    <row r="114" spans="1:3">
      <c r="A114">
        <v>1</v>
      </c>
      <c r="B114">
        <f>DataList_EnemyA!C116</f>
        <v>39.354430379746823</v>
      </c>
      <c r="C114">
        <v>6</v>
      </c>
    </row>
    <row r="115" spans="1:3">
      <c r="A115">
        <v>1</v>
      </c>
      <c r="B115">
        <f>DataList_EnemyA!C117</f>
        <v>39.544303797468345</v>
      </c>
      <c r="C115">
        <v>5</v>
      </c>
    </row>
    <row r="116" spans="1:3">
      <c r="A116">
        <v>3</v>
      </c>
      <c r="B116">
        <f>DataList_EnemyA!C118</f>
        <v>39.924050632911381</v>
      </c>
      <c r="C116">
        <v>0</v>
      </c>
    </row>
    <row r="117" spans="1:3">
      <c r="A117">
        <v>3</v>
      </c>
      <c r="B117">
        <f>DataList_EnemyA!C119</f>
        <v>40.113924050632903</v>
      </c>
      <c r="C117">
        <v>0</v>
      </c>
    </row>
    <row r="118" spans="1:3">
      <c r="A118">
        <v>3</v>
      </c>
      <c r="B118">
        <f>DataList_EnemyA!C120</f>
        <v>40.49367088607594</v>
      </c>
      <c r="C118">
        <v>1</v>
      </c>
    </row>
    <row r="119" spans="1:3">
      <c r="A119">
        <v>3</v>
      </c>
      <c r="B119">
        <f>DataList_EnemyA!C121</f>
        <v>40.873417721518976</v>
      </c>
      <c r="C119">
        <v>3</v>
      </c>
    </row>
    <row r="120" spans="1:3">
      <c r="A120">
        <v>3</v>
      </c>
      <c r="B120">
        <f>DataList_EnemyA!C122</f>
        <v>41.253164556962012</v>
      </c>
      <c r="C120">
        <v>1</v>
      </c>
    </row>
    <row r="121" spans="1:3">
      <c r="A121">
        <v>2</v>
      </c>
      <c r="B121">
        <f>DataList_EnemyA!C123</f>
        <v>42.012658227848085</v>
      </c>
      <c r="C121">
        <v>10</v>
      </c>
    </row>
    <row r="122" spans="1:3">
      <c r="A122">
        <v>3</v>
      </c>
      <c r="B122">
        <f>DataList_EnemyA!C124</f>
        <v>42.202531645569607</v>
      </c>
      <c r="C122">
        <v>0</v>
      </c>
    </row>
    <row r="123" spans="1:3">
      <c r="A123">
        <v>3</v>
      </c>
      <c r="B123">
        <f>DataList_EnemyA!C125</f>
        <v>42.392405063291129</v>
      </c>
      <c r="C123">
        <v>1</v>
      </c>
    </row>
    <row r="124" spans="1:3">
      <c r="A124">
        <v>3</v>
      </c>
      <c r="B124">
        <f>DataList_EnemyA!C126</f>
        <v>42.772151898734165</v>
      </c>
      <c r="C124">
        <v>0</v>
      </c>
    </row>
    <row r="125" spans="1:3">
      <c r="A125">
        <v>1</v>
      </c>
      <c r="B125">
        <f>DataList_EnemyA!C127</f>
        <v>42.962025316455687</v>
      </c>
      <c r="C125">
        <v>10</v>
      </c>
    </row>
    <row r="126" spans="1:3">
      <c r="A126">
        <v>3</v>
      </c>
      <c r="B126">
        <f>DataList_EnemyA!C128</f>
        <v>43.341772151898724</v>
      </c>
      <c r="C126">
        <v>0</v>
      </c>
    </row>
    <row r="127" spans="1:3">
      <c r="A127">
        <v>3</v>
      </c>
      <c r="B127">
        <f>DataList_EnemyA!C129</f>
        <v>43.531645569620245</v>
      </c>
      <c r="C127">
        <v>0</v>
      </c>
    </row>
    <row r="128" spans="1:3">
      <c r="A128">
        <v>3</v>
      </c>
      <c r="B128">
        <f>DataList_EnemyA!C130</f>
        <v>43.721518987341767</v>
      </c>
      <c r="C128">
        <v>1</v>
      </c>
    </row>
    <row r="129" spans="1:3">
      <c r="A129">
        <v>3</v>
      </c>
      <c r="B129">
        <f>DataList_EnemyA!C131</f>
        <v>43.911392405063289</v>
      </c>
      <c r="C129">
        <v>3</v>
      </c>
    </row>
    <row r="130" spans="1:3">
      <c r="A130">
        <v>3</v>
      </c>
      <c r="B130">
        <f>DataList_EnemyA!C132</f>
        <v>44.291139240506325</v>
      </c>
      <c r="C130">
        <v>1</v>
      </c>
    </row>
    <row r="131" spans="1:3">
      <c r="A131">
        <v>2</v>
      </c>
      <c r="B131">
        <f>DataList_EnemyA!C133</f>
        <v>44.860759493670884</v>
      </c>
      <c r="C131">
        <v>5</v>
      </c>
    </row>
    <row r="132" spans="1:3">
      <c r="A132">
        <v>2</v>
      </c>
      <c r="B132">
        <f>DataList_EnemyA!C134</f>
        <v>45.050632911392405</v>
      </c>
      <c r="C132">
        <v>11</v>
      </c>
    </row>
    <row r="133" spans="1:3">
      <c r="A133">
        <v>2</v>
      </c>
      <c r="B133">
        <f>DataList_EnemyA!C135</f>
        <v>45.240506329113927</v>
      </c>
      <c r="C133">
        <v>10</v>
      </c>
    </row>
    <row r="134" spans="1:3">
      <c r="A134">
        <v>2</v>
      </c>
      <c r="B134">
        <f>DataList_EnemyA!C136</f>
        <v>45.620253164556964</v>
      </c>
      <c r="C134">
        <v>6</v>
      </c>
    </row>
    <row r="135" spans="1:3">
      <c r="A135">
        <v>2</v>
      </c>
      <c r="B135">
        <f>DataList_EnemyA!C137</f>
        <v>46.189873417721522</v>
      </c>
      <c r="C135">
        <v>8</v>
      </c>
    </row>
    <row r="136" spans="1:3">
      <c r="A136">
        <v>2</v>
      </c>
      <c r="B136">
        <f>DataList_EnemyA!C138</f>
        <v>46.569620253164558</v>
      </c>
      <c r="C136">
        <v>10</v>
      </c>
    </row>
    <row r="137" spans="1:3">
      <c r="A137">
        <v>2</v>
      </c>
      <c r="B137">
        <f>DataList_EnemyA!C139</f>
        <v>46.75949367088608</v>
      </c>
      <c r="C137">
        <v>8</v>
      </c>
    </row>
    <row r="138" spans="1:3">
      <c r="A138">
        <v>1</v>
      </c>
      <c r="B138">
        <f>DataList_EnemyA!C140</f>
        <v>47.518987341772153</v>
      </c>
      <c r="C138">
        <v>5</v>
      </c>
    </row>
    <row r="139" spans="1:3">
      <c r="A139">
        <v>1</v>
      </c>
      <c r="B139">
        <f>DataList_EnemyA!C141</f>
        <v>47.708860759493675</v>
      </c>
      <c r="C139">
        <v>6</v>
      </c>
    </row>
    <row r="140" spans="1:3">
      <c r="A140">
        <v>2</v>
      </c>
      <c r="B140">
        <f>DataList_EnemyA!C142</f>
        <v>48.088607594936711</v>
      </c>
      <c r="C140">
        <v>8</v>
      </c>
    </row>
    <row r="141" spans="1:3">
      <c r="A141">
        <v>2</v>
      </c>
      <c r="B141">
        <f>DataList_EnemyA!C143</f>
        <v>48.37341772151899</v>
      </c>
      <c r="C141">
        <v>8</v>
      </c>
    </row>
    <row r="142" spans="1:3">
      <c r="A142">
        <v>2</v>
      </c>
      <c r="B142">
        <f>DataList_EnemyA!C144</f>
        <v>48.753164556962027</v>
      </c>
      <c r="C142">
        <v>8</v>
      </c>
    </row>
    <row r="143" spans="1:3">
      <c r="A143">
        <v>2</v>
      </c>
      <c r="B143">
        <f>DataList_EnemyA!C145</f>
        <v>49.132911392405063</v>
      </c>
      <c r="C143">
        <v>8</v>
      </c>
    </row>
    <row r="144" spans="1:3">
      <c r="A144">
        <v>2</v>
      </c>
      <c r="B144">
        <f>DataList_EnemyA!C146</f>
        <v>49.5126582278481</v>
      </c>
      <c r="C144">
        <v>8</v>
      </c>
    </row>
    <row r="145" spans="1:3">
      <c r="A145">
        <v>1</v>
      </c>
      <c r="B145">
        <f>DataList_EnemyA!C147</f>
        <v>49.797468354430379</v>
      </c>
      <c r="C145">
        <v>1</v>
      </c>
    </row>
    <row r="146" spans="1:3">
      <c r="A146">
        <v>1</v>
      </c>
      <c r="B146">
        <f>DataList_EnemyA!C148</f>
        <v>49.9873417721519</v>
      </c>
      <c r="C146">
        <v>1</v>
      </c>
    </row>
    <row r="147" spans="1:3">
      <c r="A147">
        <v>1</v>
      </c>
      <c r="B147">
        <f>DataList_EnemyA!C149</f>
        <v>50.556962025316459</v>
      </c>
      <c r="C147">
        <v>1</v>
      </c>
    </row>
    <row r="148" spans="1:3">
      <c r="A148">
        <v>1</v>
      </c>
      <c r="B148">
        <f>DataList_EnemyA!C150</f>
        <v>50.74683544303798</v>
      </c>
      <c r="C148">
        <v>8</v>
      </c>
    </row>
    <row r="149" spans="1:3">
      <c r="A149">
        <v>1</v>
      </c>
      <c r="B149">
        <f>DataList_EnemyA!C151</f>
        <v>50.936708860759502</v>
      </c>
      <c r="C149">
        <v>6</v>
      </c>
    </row>
    <row r="150" spans="1:3">
      <c r="A150">
        <v>1</v>
      </c>
      <c r="B150">
        <f>DataList_EnemyA!C152</f>
        <v>51.126582278481024</v>
      </c>
      <c r="C150">
        <v>5</v>
      </c>
    </row>
    <row r="151" spans="1:3">
      <c r="A151">
        <v>1</v>
      </c>
      <c r="B151">
        <f>DataList_EnemyA!C153</f>
        <v>51.50632911392406</v>
      </c>
      <c r="C151">
        <v>6</v>
      </c>
    </row>
    <row r="152" spans="1:3">
      <c r="A152">
        <v>1</v>
      </c>
      <c r="B152">
        <f>DataList_EnemyA!C154</f>
        <v>51.696202531645582</v>
      </c>
      <c r="C152">
        <v>5</v>
      </c>
    </row>
    <row r="153" spans="1:3">
      <c r="A153">
        <v>3</v>
      </c>
      <c r="B153">
        <f>DataList_EnemyA!C155</f>
        <v>52.075949367088619</v>
      </c>
      <c r="C153">
        <v>0</v>
      </c>
    </row>
    <row r="154" spans="1:3">
      <c r="A154">
        <v>3</v>
      </c>
      <c r="B154">
        <f>DataList_EnemyA!C156</f>
        <v>52.26582278481014</v>
      </c>
      <c r="C154">
        <v>0</v>
      </c>
    </row>
    <row r="155" spans="1:3">
      <c r="A155">
        <v>3</v>
      </c>
      <c r="B155">
        <f>DataList_EnemyA!C157</f>
        <v>52.645569620253177</v>
      </c>
      <c r="C155">
        <v>10</v>
      </c>
    </row>
    <row r="156" spans="1:3">
      <c r="A156">
        <v>3</v>
      </c>
      <c r="B156">
        <f>DataList_EnemyA!C158</f>
        <v>53.025316455696213</v>
      </c>
      <c r="C156">
        <v>0</v>
      </c>
    </row>
    <row r="157" spans="1:3">
      <c r="A157">
        <v>3</v>
      </c>
      <c r="B157">
        <f>DataList_EnemyA!C159</f>
        <v>53.40506329113925</v>
      </c>
      <c r="C157">
        <v>1</v>
      </c>
    </row>
    <row r="158" spans="1:3">
      <c r="A158">
        <v>2</v>
      </c>
      <c r="B158">
        <f>DataList_EnemyA!C160</f>
        <v>53.974683544303808</v>
      </c>
      <c r="C158">
        <v>10</v>
      </c>
    </row>
    <row r="159" spans="1:3">
      <c r="A159">
        <v>3</v>
      </c>
      <c r="B159">
        <f>DataList_EnemyA!C161</f>
        <v>54.16455696202533</v>
      </c>
      <c r="C159">
        <v>0</v>
      </c>
    </row>
    <row r="160" spans="1:3">
      <c r="A160">
        <v>3</v>
      </c>
      <c r="B160">
        <f>DataList_EnemyA!C162</f>
        <v>54.354430379746852</v>
      </c>
      <c r="C160">
        <v>1</v>
      </c>
    </row>
    <row r="161" spans="1:3">
      <c r="A161">
        <v>3</v>
      </c>
      <c r="B161">
        <f>DataList_EnemyA!C163</f>
        <v>54.734177215189888</v>
      </c>
      <c r="C161">
        <v>0</v>
      </c>
    </row>
    <row r="162" spans="1:3">
      <c r="A162">
        <v>1</v>
      </c>
      <c r="B162">
        <f>DataList_EnemyA!C164</f>
        <v>54.92405063291141</v>
      </c>
      <c r="C162">
        <v>10</v>
      </c>
    </row>
    <row r="163" spans="1:3">
      <c r="A163">
        <v>3</v>
      </c>
      <c r="B163">
        <f>DataList_EnemyA!C165</f>
        <v>55.303797468354446</v>
      </c>
      <c r="C163">
        <v>0</v>
      </c>
    </row>
    <row r="164" spans="1:3">
      <c r="A164">
        <v>3</v>
      </c>
      <c r="B164">
        <f>DataList_EnemyA!C166</f>
        <v>55.493670886075968</v>
      </c>
      <c r="C164">
        <v>0</v>
      </c>
    </row>
    <row r="165" spans="1:3">
      <c r="A165">
        <v>3</v>
      </c>
      <c r="B165">
        <f>DataList_EnemyA!C167</f>
        <v>55.68354430379749</v>
      </c>
      <c r="C165">
        <v>1</v>
      </c>
    </row>
    <row r="166" spans="1:3">
      <c r="A166">
        <v>3</v>
      </c>
      <c r="B166">
        <f>DataList_EnemyA!C168</f>
        <v>55.873417721519012</v>
      </c>
      <c r="C166">
        <v>3</v>
      </c>
    </row>
    <row r="167" spans="1:3">
      <c r="A167">
        <v>3</v>
      </c>
      <c r="B167">
        <f>DataList_EnemyA!C169</f>
        <v>56.253164556962048</v>
      </c>
      <c r="C167">
        <v>1</v>
      </c>
    </row>
    <row r="168" spans="1:3">
      <c r="A168">
        <v>1</v>
      </c>
      <c r="B168">
        <f>DataList_EnemyA!C170</f>
        <v>57.012658227848121</v>
      </c>
      <c r="C168">
        <v>5</v>
      </c>
    </row>
    <row r="169" spans="1:3">
      <c r="A169">
        <v>2</v>
      </c>
      <c r="B169">
        <f>DataList_EnemyA!C171</f>
        <v>57.202531645569643</v>
      </c>
      <c r="C169">
        <v>6</v>
      </c>
    </row>
    <row r="170" spans="1:3">
      <c r="A170">
        <v>1</v>
      </c>
      <c r="B170">
        <f>DataList_EnemyA!C172</f>
        <v>57.772151898734201</v>
      </c>
      <c r="C170">
        <v>8</v>
      </c>
    </row>
    <row r="171" spans="1:3">
      <c r="A171">
        <v>1</v>
      </c>
      <c r="B171">
        <f>DataList_EnemyA!C173</f>
        <v>58.151898734177237</v>
      </c>
      <c r="C171">
        <v>10</v>
      </c>
    </row>
    <row r="172" spans="1:3">
      <c r="A172">
        <v>2</v>
      </c>
      <c r="B172">
        <f>DataList_EnemyA!C174</f>
        <v>58.531645569620274</v>
      </c>
      <c r="C172">
        <v>9</v>
      </c>
    </row>
    <row r="173" spans="1:3">
      <c r="A173">
        <v>2</v>
      </c>
      <c r="B173">
        <f>DataList_EnemyA!C175</f>
        <v>58.91139240506331</v>
      </c>
      <c r="C173">
        <v>8</v>
      </c>
    </row>
    <row r="174" spans="1:3">
      <c r="A174">
        <v>2</v>
      </c>
      <c r="B174">
        <f>DataList_EnemyA!C176</f>
        <v>59.291139240506347</v>
      </c>
      <c r="C174">
        <v>6</v>
      </c>
    </row>
    <row r="175" spans="1:3">
      <c r="A175">
        <v>1</v>
      </c>
      <c r="B175">
        <f>DataList_EnemyA!C177</f>
        <v>60.145569620253184</v>
      </c>
      <c r="C175">
        <v>5</v>
      </c>
    </row>
    <row r="176" spans="1:3">
      <c r="A176">
        <v>1</v>
      </c>
      <c r="B176">
        <f>DataList_EnemyA!C178</f>
        <v>60.335443037974706</v>
      </c>
      <c r="C176">
        <v>8</v>
      </c>
    </row>
    <row r="177" spans="1:3">
      <c r="A177">
        <v>3</v>
      </c>
      <c r="B177">
        <f>DataList_EnemyA!C179</f>
        <v>60.715189873417742</v>
      </c>
      <c r="C177">
        <v>1</v>
      </c>
    </row>
    <row r="178" spans="1:3">
      <c r="A178">
        <v>3</v>
      </c>
      <c r="B178">
        <f>DataList_EnemyA!C180</f>
        <v>61.094936708860779</v>
      </c>
      <c r="C178">
        <v>0</v>
      </c>
    </row>
    <row r="179" spans="1:3">
      <c r="A179">
        <v>3</v>
      </c>
      <c r="B179">
        <f>DataList_EnemyA!C181</f>
        <v>61.474683544303815</v>
      </c>
      <c r="C179">
        <v>1</v>
      </c>
    </row>
    <row r="180" spans="1:3">
      <c r="A180">
        <v>3</v>
      </c>
      <c r="B180">
        <f>DataList_EnemyA!C182</f>
        <v>62.234177215189888</v>
      </c>
      <c r="C180">
        <v>0</v>
      </c>
    </row>
    <row r="181" spans="1:3">
      <c r="A181">
        <v>3</v>
      </c>
      <c r="B181">
        <f>DataList_EnemyA!C183</f>
        <v>62.613924050632924</v>
      </c>
      <c r="C181">
        <v>0</v>
      </c>
    </row>
    <row r="182" spans="1:3">
      <c r="A182">
        <v>3</v>
      </c>
      <c r="B182">
        <f>DataList_EnemyA!C184</f>
        <v>62.803797468354446</v>
      </c>
      <c r="C182">
        <v>1</v>
      </c>
    </row>
    <row r="183" spans="1:3">
      <c r="A183">
        <v>0</v>
      </c>
      <c r="B183">
        <f>DataList_EnemyA!C187</f>
        <v>66.221518987341781</v>
      </c>
      <c r="C183">
        <v>11</v>
      </c>
    </row>
    <row r="184" spans="1:3">
      <c r="A184">
        <v>0</v>
      </c>
      <c r="B184">
        <f>DataList_EnemyA!C188</f>
        <v>66.411392405063296</v>
      </c>
      <c r="C184">
        <v>11</v>
      </c>
    </row>
    <row r="185" spans="1:3">
      <c r="A185">
        <v>0</v>
      </c>
      <c r="B185">
        <f>DataList_EnemyA!C189</f>
        <v>66.601265822784811</v>
      </c>
      <c r="C185">
        <v>11</v>
      </c>
    </row>
    <row r="186" spans="1:3">
      <c r="A186">
        <v>0</v>
      </c>
      <c r="B186">
        <f>DataList_EnemyA!C190</f>
        <v>66.791139240506325</v>
      </c>
      <c r="C186">
        <v>11</v>
      </c>
    </row>
    <row r="187" spans="1:3">
      <c r="A187">
        <v>0</v>
      </c>
      <c r="B187">
        <f>DataList_EnemyA!C191</f>
        <v>66.98101265822784</v>
      </c>
      <c r="C187">
        <v>4</v>
      </c>
    </row>
    <row r="188" spans="1:3">
      <c r="A188">
        <v>0</v>
      </c>
      <c r="B188">
        <f>DataList_EnemyA!C192</f>
        <v>67.170886075949355</v>
      </c>
      <c r="C188">
        <v>3</v>
      </c>
    </row>
    <row r="189" spans="1:3">
      <c r="A189">
        <v>0</v>
      </c>
      <c r="B189">
        <f>DataList_EnemyA!C193</f>
        <v>67.360759493670869</v>
      </c>
      <c r="C189">
        <v>4</v>
      </c>
    </row>
    <row r="190" spans="1:3">
      <c r="A190">
        <v>1</v>
      </c>
      <c r="B190">
        <f>DataList_EnemyA!C194</f>
        <v>69.259493670886059</v>
      </c>
      <c r="C190">
        <v>11</v>
      </c>
    </row>
    <row r="191" spans="1:3">
      <c r="A191">
        <v>1</v>
      </c>
      <c r="B191">
        <f>DataList_EnemyA!C195</f>
        <v>69.449367088607573</v>
      </c>
      <c r="C191">
        <v>11</v>
      </c>
    </row>
    <row r="192" spans="1:3">
      <c r="A192">
        <v>1</v>
      </c>
      <c r="B192">
        <f>DataList_EnemyA!C196</f>
        <v>69.639240506329088</v>
      </c>
      <c r="C192">
        <v>11</v>
      </c>
    </row>
    <row r="193" spans="1:3">
      <c r="A193">
        <v>1</v>
      </c>
      <c r="B193">
        <f>DataList_EnemyA!C197</f>
        <v>69.829113924050603</v>
      </c>
      <c r="C193">
        <v>11</v>
      </c>
    </row>
    <row r="194" spans="1:3">
      <c r="A194">
        <v>1</v>
      </c>
      <c r="B194">
        <f>DataList_EnemyA!C198</f>
        <v>70.018987341772117</v>
      </c>
      <c r="C194">
        <v>4</v>
      </c>
    </row>
    <row r="195" spans="1:3">
      <c r="A195">
        <v>1</v>
      </c>
      <c r="B195">
        <f>DataList_EnemyA!C199</f>
        <v>70.208860759493632</v>
      </c>
      <c r="C195">
        <v>3</v>
      </c>
    </row>
    <row r="196" spans="1:3">
      <c r="A196">
        <v>1</v>
      </c>
      <c r="B196">
        <f>DataList_EnemyA!C200</f>
        <v>70.398734177215147</v>
      </c>
      <c r="C196">
        <v>4</v>
      </c>
    </row>
    <row r="197" spans="1:3">
      <c r="A197">
        <v>1</v>
      </c>
      <c r="B197">
        <f>DataList_EnemyA!C201</f>
        <v>71.15822784810122</v>
      </c>
      <c r="C197">
        <v>6</v>
      </c>
    </row>
    <row r="198" spans="1:3">
      <c r="A198">
        <v>1</v>
      </c>
      <c r="B198">
        <f>DataList_EnemyA!C202</f>
        <v>71.917721518987292</v>
      </c>
      <c r="C198">
        <v>8</v>
      </c>
    </row>
    <row r="199" spans="1:3">
      <c r="A199">
        <v>1</v>
      </c>
      <c r="B199">
        <f>DataList_EnemyA!C204</f>
        <v>74.955696202531584</v>
      </c>
      <c r="C199">
        <v>10</v>
      </c>
    </row>
    <row r="200" spans="1:3">
      <c r="A200">
        <v>2</v>
      </c>
      <c r="B200">
        <f>DataList_EnemyA!C205</f>
        <v>75.145569620253099</v>
      </c>
      <c r="C200">
        <v>6</v>
      </c>
    </row>
    <row r="201" spans="1:3">
      <c r="A201">
        <v>1</v>
      </c>
      <c r="B201">
        <f>DataList_EnemyA!C206</f>
        <v>75.525316455696142</v>
      </c>
      <c r="C201">
        <v>5</v>
      </c>
    </row>
    <row r="202" spans="1:3">
      <c r="A202">
        <v>2</v>
      </c>
      <c r="B202">
        <f>DataList_EnemyA!C207</f>
        <v>75.905063291139186</v>
      </c>
      <c r="C202">
        <v>3</v>
      </c>
    </row>
    <row r="203" spans="1:3">
      <c r="A203">
        <v>1</v>
      </c>
      <c r="B203">
        <f>DataList_EnemyA!C208</f>
        <v>76.284810126582229</v>
      </c>
      <c r="C203">
        <v>0</v>
      </c>
    </row>
    <row r="204" spans="1:3">
      <c r="A204">
        <v>2</v>
      </c>
      <c r="B204">
        <f>DataList_EnemyA!C209</f>
        <v>76.854430379746788</v>
      </c>
      <c r="C204">
        <v>1</v>
      </c>
    </row>
    <row r="205" spans="1:3">
      <c r="A205">
        <v>1</v>
      </c>
      <c r="B205">
        <f>DataList_EnemyA!C210</f>
        <v>77.234177215189831</v>
      </c>
      <c r="C205">
        <v>3</v>
      </c>
    </row>
    <row r="206" spans="1:3">
      <c r="A206">
        <v>1</v>
      </c>
      <c r="B206">
        <f>DataList_EnemyA!C211</f>
        <v>77.803797468354389</v>
      </c>
      <c r="C206">
        <v>1</v>
      </c>
    </row>
    <row r="207" spans="1:3">
      <c r="A207">
        <v>2</v>
      </c>
      <c r="B207">
        <f>DataList_EnemyA!C212</f>
        <v>78.563291139240462</v>
      </c>
      <c r="C207">
        <v>0</v>
      </c>
    </row>
    <row r="208" spans="1:3">
      <c r="A208">
        <v>2</v>
      </c>
      <c r="B208">
        <f>DataList_EnemyA!C213</f>
        <v>79.322784810126535</v>
      </c>
      <c r="C208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9</vt:i4>
      </vt:variant>
    </vt:vector>
  </HeadingPairs>
  <TitlesOfParts>
    <vt:vector size="13" baseType="lpstr">
      <vt:lpstr>Macro1</vt:lpstr>
      <vt:lpstr>DataList_EnemyA</vt:lpstr>
      <vt:lpstr>Sheet1</vt:lpstr>
      <vt:lpstr>enemya_list</vt:lpstr>
      <vt:lpstr>DE</vt:lpstr>
      <vt:lpstr>DH</vt:lpstr>
      <vt:lpstr>DQ</vt:lpstr>
      <vt:lpstr>DS</vt:lpstr>
      <vt:lpstr>E</vt:lpstr>
      <vt:lpstr>H</vt:lpstr>
      <vt:lpstr>Q</vt:lpstr>
      <vt:lpstr>S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Game200-15</cp:lastModifiedBy>
  <dcterms:created xsi:type="dcterms:W3CDTF">2015-06-05T18:19:34Z</dcterms:created>
  <dcterms:modified xsi:type="dcterms:W3CDTF">2026-05-07T05:39:28Z</dcterms:modified>
</cp:coreProperties>
</file>